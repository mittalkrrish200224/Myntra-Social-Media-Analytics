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358e20683169b36f/Desktop/Project course/"/>
    </mc:Choice>
  </mc:AlternateContent>
  <xr:revisionPtr revIDLastSave="2" documentId="8_{D35E93F6-4709-417E-8C09-D410189E222B}" xr6:coauthVersionLast="47" xr6:coauthVersionMax="47" xr10:uidLastSave="{1E7C2E46-624C-4FEF-8B13-C1C74B19B64D}"/>
  <bookViews>
    <workbookView xWindow="-108" yWindow="-108" windowWidth="23256" windowHeight="12456" firstSheet="1" activeTab="2" xr2:uid="{8A7EEFF4-F233-4E5D-B727-4FD83C513FAD}"/>
  </bookViews>
  <sheets>
    <sheet name="follower growth per platform" sheetId="1" r:id="rId1"/>
    <sheet name="peak week of follower gain" sheetId="2" r:id="rId2"/>
    <sheet name="moving averages to smooth growt" sheetId="3" r:id="rId3"/>
    <sheet name="Correlate ad spend vs. follower" sheetId="4" r:id="rId4"/>
  </sheets>
  <externalReferences>
    <externalReference r:id="rId5"/>
  </externalReferences>
  <definedNames>
    <definedName name="Slicer_Platform">#N/A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7" i="2" l="1"/>
  <c r="L54" i="2"/>
  <c r="L50" i="2"/>
  <c r="L47" i="2"/>
</calcChain>
</file>

<file path=xl/sharedStrings.xml><?xml version="1.0" encoding="utf-8"?>
<sst xmlns="http://schemas.openxmlformats.org/spreadsheetml/2006/main" count="576" uniqueCount="89">
  <si>
    <t>Platforms</t>
  </si>
  <si>
    <t>Sum of Total_Followers</t>
  </si>
  <si>
    <t>Sum of Net Followers</t>
  </si>
  <si>
    <t>Instagram</t>
  </si>
  <si>
    <t>2024</t>
  </si>
  <si>
    <t>03-Jun</t>
  </si>
  <si>
    <t>10-Jun</t>
  </si>
  <si>
    <t>17-Jun</t>
  </si>
  <si>
    <t>24-Jun</t>
  </si>
  <si>
    <t>01-Jul</t>
  </si>
  <si>
    <t>08-Jul</t>
  </si>
  <si>
    <t>15-Jul</t>
  </si>
  <si>
    <t>22-Jul</t>
  </si>
  <si>
    <t>29-Jul</t>
  </si>
  <si>
    <t>05-Aug</t>
  </si>
  <si>
    <t>12-Aug</t>
  </si>
  <si>
    <t>19-Aug</t>
  </si>
  <si>
    <t>26-Aug</t>
  </si>
  <si>
    <t>02-Sep</t>
  </si>
  <si>
    <t>09-Sep</t>
  </si>
  <si>
    <t>16-Sep</t>
  </si>
  <si>
    <t>23-Sep</t>
  </si>
  <si>
    <t>30-Sep</t>
  </si>
  <si>
    <t>07-Oct</t>
  </si>
  <si>
    <t>14-Oct</t>
  </si>
  <si>
    <t>21-Oct</t>
  </si>
  <si>
    <t>28-Oct</t>
  </si>
  <si>
    <t>04-Nov</t>
  </si>
  <si>
    <t>11-Nov</t>
  </si>
  <si>
    <t>18-Nov</t>
  </si>
  <si>
    <t>25-Nov</t>
  </si>
  <si>
    <t>02-Dec</t>
  </si>
  <si>
    <t>09-Dec</t>
  </si>
  <si>
    <t>16-Dec</t>
  </si>
  <si>
    <t>23-Dec</t>
  </si>
  <si>
    <t>30-Dec</t>
  </si>
  <si>
    <t>2025</t>
  </si>
  <si>
    <t>06-Jan</t>
  </si>
  <si>
    <t>13-Jan</t>
  </si>
  <si>
    <t>20-Jan</t>
  </si>
  <si>
    <t>27-Jan</t>
  </si>
  <si>
    <t>03-Feb</t>
  </si>
  <si>
    <t>10-Feb</t>
  </si>
  <si>
    <t>17-Feb</t>
  </si>
  <si>
    <t>24-Feb</t>
  </si>
  <si>
    <t>03-Mar</t>
  </si>
  <si>
    <t>10-Mar</t>
  </si>
  <si>
    <t>17-Mar</t>
  </si>
  <si>
    <t>24-Mar</t>
  </si>
  <si>
    <t>31-Mar</t>
  </si>
  <si>
    <t>07-Apr</t>
  </si>
  <si>
    <t>14-Apr</t>
  </si>
  <si>
    <t>21-Apr</t>
  </si>
  <si>
    <t>28-Apr</t>
  </si>
  <si>
    <t>05-May</t>
  </si>
  <si>
    <t>12-May</t>
  </si>
  <si>
    <t>Twitter</t>
  </si>
  <si>
    <t>Facebook</t>
  </si>
  <si>
    <t>YouTube</t>
  </si>
  <si>
    <t>Grand Total</t>
  </si>
  <si>
    <t>Facebook achieved the highest peak in Net Followers (Q3 2024) among all platforms, but also showed the sHarp decline afterward, hitting a low in Q4 2024.</t>
  </si>
  <si>
    <t>Instagram and Twitter show relatively stable Net Follower growth throughout the period, both experienced some volatility.</t>
  </si>
  <si>
    <t>YouTube has the slow growth rate, but it maintains a consistent positive Net Follower count, suggesting its role as a long-term investment.</t>
  </si>
  <si>
    <t>Crucially, Net Followers remain positive for all platforms throughout the chart, confirming that no subscribers were lost, only that the rate of growth varied.</t>
  </si>
  <si>
    <t>Row Labels</t>
  </si>
  <si>
    <t>Jun</t>
  </si>
  <si>
    <t>Jul</t>
  </si>
  <si>
    <t>Aug</t>
  </si>
  <si>
    <t>Sep</t>
  </si>
  <si>
    <t>Oct</t>
  </si>
  <si>
    <t>Nov</t>
  </si>
  <si>
    <t>Dec</t>
  </si>
  <si>
    <t>PEAK WEEK BY FOLLOWERS ON PLATFORMS</t>
  </si>
  <si>
    <t>Jan</t>
  </si>
  <si>
    <t xml:space="preserve">Peak week for Facebook = </t>
  </si>
  <si>
    <t>Feb</t>
  </si>
  <si>
    <t>Peak week for instagram =</t>
  </si>
  <si>
    <t>Peak week for Twitter</t>
  </si>
  <si>
    <t>=</t>
  </si>
  <si>
    <t>Mar</t>
  </si>
  <si>
    <t>Peak week for Youtube=</t>
  </si>
  <si>
    <t>Apr</t>
  </si>
  <si>
    <t>May</t>
  </si>
  <si>
    <t>Sum of Average Total Followers</t>
  </si>
  <si>
    <r>
      <t>The Moving Average line is very smooth; it shows steady growth.</t>
    </r>
    <r>
      <rPr>
        <sz val="11"/>
        <color theme="1"/>
        <rFont val="Calibri"/>
        <family val="2"/>
        <scheme val="minor"/>
      </rPr>
      <t xml:space="preserve"> This smooth line is important because it confirms that </t>
    </r>
    <r>
      <rPr>
        <b/>
        <sz val="11"/>
        <color theme="1"/>
        <rFont val="Calibri"/>
        <family val="2"/>
        <scheme val="minor"/>
      </rPr>
      <t>Instagram</t>
    </r>
    <r>
      <rPr>
        <sz val="11"/>
        <color theme="1"/>
        <rFont val="Calibri"/>
        <family val="2"/>
        <scheme val="minor"/>
      </rPr>
      <t xml:space="preserve"> is the most stable platform, keeping the highest average number of followers over time. It helps us make better plans by focusing on the real, steady progress, not just a lucky week.</t>
    </r>
  </si>
  <si>
    <t>sum of adspend</t>
  </si>
  <si>
    <t>sum of engagement rate</t>
  </si>
  <si>
    <t>Myntra is spending a very large amount of money (high blue bars) every week, but the return in new followers (small red bars) is usually very low or near zero.</t>
  </si>
  <si>
    <t>This proves that Myntra needs to change its strategy, as its current spending is inefficient for just gaining followers and should be shifted towards high-engagement content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</si>
</sst>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2"/>
      <color theme="5"/>
      <name val="Algerian"/>
      <family val="5"/>
    </font>
    <font>
      <sz val="10"/>
      <color rgb="FF1F1F1F"/>
      <name val="Arial"/>
      <family val="2"/>
    </font>
    <font>
      <b/>
      <sz val="22"/>
      <color rgb="FFFF0000"/>
      <name val="Algerian"/>
      <family val="5"/>
    </font>
    <font>
      <sz val="12"/>
      <color theme="5"/>
      <name val="Arial Rounded MT Bold"/>
      <family val="2"/>
    </font>
    <font>
      <sz val="12"/>
      <color theme="1"/>
      <name val="Arial Rounded MT Bold"/>
      <family val="2"/>
    </font>
    <font>
      <b/>
      <sz val="12"/>
      <color rgb="FFFF0000"/>
      <name val="Algerian"/>
      <family val="5"/>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7">
    <xf numFmtId="0" fontId="0" fillId="0" borderId="0" xfId="0"/>
    <xf numFmtId="0" fontId="0" fillId="0" borderId="0" xfId="0" applyAlignment="1">
      <alignment horizontal="left"/>
    </xf>
    <xf numFmtId="1"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center"/>
    </xf>
    <xf numFmtId="0" fontId="3" fillId="0" borderId="0" xfId="0" applyFont="1" applyAlignment="1">
      <alignment wrapText="1"/>
    </xf>
    <xf numFmtId="0" fontId="4" fillId="0" borderId="0" xfId="0" applyFont="1" applyAlignment="1">
      <alignment vertical="center"/>
    </xf>
    <xf numFmtId="0" fontId="0" fillId="0" borderId="0" xfId="0" pivotButton="1"/>
    <xf numFmtId="164" fontId="0" fillId="0" borderId="0" xfId="0" applyNumberFormat="1"/>
    <xf numFmtId="164" fontId="0" fillId="0" borderId="0" xfId="0" applyNumberFormat="1" applyAlignment="1">
      <alignment horizontal="left"/>
    </xf>
    <xf numFmtId="164" fontId="0" fillId="0" borderId="0" xfId="0" applyNumberFormat="1" applyAlignment="1">
      <alignment horizontal="left" indent="3"/>
    </xf>
    <xf numFmtId="0" fontId="5" fillId="0" borderId="0" xfId="0" applyFont="1"/>
    <xf numFmtId="0" fontId="6" fillId="0" borderId="0" xfId="0" applyFont="1"/>
    <xf numFmtId="0" fontId="7" fillId="0" borderId="0" xfId="0" applyFont="1"/>
    <xf numFmtId="164" fontId="0" fillId="0" borderId="0" xfId="0" pivotButton="1" applyNumberFormat="1"/>
    <xf numFmtId="0" fontId="2" fillId="0" borderId="0" xfId="0" applyFont="1"/>
    <xf numFmtId="0" fontId="1" fillId="0" borderId="0" xfId="0" applyFont="1"/>
    <xf numFmtId="0" fontId="2" fillId="0" borderId="1" xfId="0" applyFont="1" applyBorder="1" applyAlignment="1">
      <alignment horizontal="left"/>
    </xf>
    <xf numFmtId="1" fontId="2" fillId="0" borderId="1" xfId="0" applyNumberFormat="1" applyFont="1" applyBorder="1"/>
    <xf numFmtId="0" fontId="2" fillId="0" borderId="0" xfId="0" applyFont="1" applyAlignment="1">
      <alignment horizontal="left" indent="1"/>
    </xf>
    <xf numFmtId="1" fontId="2" fillId="0" borderId="0" xfId="0" applyNumberFormat="1" applyFont="1"/>
    <xf numFmtId="164" fontId="0" fillId="0" borderId="0" xfId="0" applyNumberFormat="1" applyAlignment="1">
      <alignment horizontal="left" indent="2"/>
    </xf>
    <xf numFmtId="0" fontId="0" fillId="0" borderId="0" xfId="0" applyAlignment="1">
      <alignment horizontal="left" indent="3"/>
    </xf>
    <xf numFmtId="0" fontId="8" fillId="0" borderId="0" xfId="0" applyFont="1"/>
    <xf numFmtId="0" fontId="2" fillId="2" borderId="2" xfId="0" applyFont="1" applyFill="1" applyBorder="1" applyAlignment="1">
      <alignment horizontal="left"/>
    </xf>
    <xf numFmtId="1" fontId="2" fillId="2" borderId="2" xfId="0" applyNumberFormat="1" applyFont="1" applyFill="1" applyBorder="1"/>
  </cellXfs>
  <cellStyles count="1">
    <cellStyle name="Normal" xfId="0" builtinId="0"/>
  </cellStyles>
  <dxfs count="6">
    <dxf>
      <numFmt numFmtId="164" formatCode="[$-14009]yyyy/mm/dd;@"/>
    </dxf>
    <dxf>
      <numFmt numFmtId="164" formatCode="[$-14009]yyyy/mm/dd;@"/>
    </dxf>
    <dxf>
      <numFmt numFmtId="164" formatCode="[$-14009]yyyy/mm/dd;@"/>
    </dxf>
    <dxf>
      <numFmt numFmtId="164" formatCode="[$-14009]yyyy/mm/dd;@"/>
    </dxf>
    <dxf>
      <numFmt numFmtId="164" formatCode="[$-14009]yyyy/mm/dd;@"/>
    </dxf>
    <dxf>
      <numFmt numFmtId="164" formatCode="[$-14009]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pattFill prst="pct5">
                  <a:fgClr>
                    <a:srgbClr val="FFFFFF">
                      <a:lumMod val="85000"/>
                    </a:srgbClr>
                  </a:fgClr>
                  <a:bgClr>
                    <a:schemeClr val="bg1"/>
                  </a:bgClr>
                </a:pattFill>
                <a:latin typeface="+mn-lt"/>
                <a:ea typeface="+mn-ea"/>
                <a:cs typeface="+mn-cs"/>
              </a:defRPr>
            </a:pPr>
            <a:r>
              <a:rPr lang="en-IN" sz="1600" b="1" i="0" u="none" strike="noStrike" cap="none" baseline="0">
                <a:effectLst/>
              </a:rPr>
              <a:t>Follower Growth</a:t>
            </a:r>
            <a:endParaRPr lang="en-IN" sz="1600" b="1" i="0" u="none" strike="noStrike" cap="none" baseline="0">
              <a:pattFill prst="pct5">
                <a:fgClr>
                  <a:srgbClr val="FFFFFF">
                    <a:lumMod val="85000"/>
                  </a:srgbClr>
                </a:fgClr>
                <a:bgClr>
                  <a:schemeClr val="bg1"/>
                </a:bgClr>
              </a:pattFill>
              <a:effectLst/>
            </a:endParaRPr>
          </a:p>
        </c:rich>
      </c:tx>
      <c:overlay val="0"/>
      <c:spPr>
        <a:noFill/>
        <a:ln>
          <a:noFill/>
        </a:ln>
        <a:effectLst/>
      </c:spPr>
      <c:txPr>
        <a:bodyPr rot="0" spcFirstLastPara="1" vertOverflow="ellipsis" vert="horz" wrap="square" anchor="ctr" anchorCtr="1"/>
        <a:lstStyle/>
        <a:p>
          <a:pPr>
            <a:defRPr sz="1400" b="1" i="0" u="none" strike="noStrike" kern="1200" cap="none" baseline="0">
              <a:pattFill prst="pct5">
                <a:fgClr>
                  <a:srgbClr val="FFFFFF">
                    <a:lumMod val="85000"/>
                  </a:srgbClr>
                </a:fgClr>
                <a:bgClr>
                  <a:schemeClr val="bg1"/>
                </a:bgClr>
              </a:pattFill>
              <a:latin typeface="+mn-lt"/>
              <a:ea typeface="+mn-ea"/>
              <a:cs typeface="+mn-cs"/>
            </a:defRPr>
          </a:pPr>
          <a:endParaRPr lang="en-IN"/>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Total_Followers</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200"/>
              <c:pt idx="0">
                <c:v>Instagram 2024 03-Jun</c:v>
              </c:pt>
              <c:pt idx="1">
                <c:v>Instagram 2024 10-Jun</c:v>
              </c:pt>
              <c:pt idx="2">
                <c:v>Instagram 2024 17-Jun</c:v>
              </c:pt>
              <c:pt idx="3">
                <c:v>Instagram 2024 24-Jun</c:v>
              </c:pt>
              <c:pt idx="4">
                <c:v>Instagram 2024 01-Jul</c:v>
              </c:pt>
              <c:pt idx="5">
                <c:v>Instagram 2024 08-Jul</c:v>
              </c:pt>
              <c:pt idx="6">
                <c:v>Instagram 2024 15-Jul</c:v>
              </c:pt>
              <c:pt idx="7">
                <c:v>Instagram 2024 22-Jul</c:v>
              </c:pt>
              <c:pt idx="8">
                <c:v>Instagram 2024 29-Jul</c:v>
              </c:pt>
              <c:pt idx="9">
                <c:v>Instagram 2024 05-Aug</c:v>
              </c:pt>
              <c:pt idx="10">
                <c:v>Instagram 2024 12-Aug</c:v>
              </c:pt>
              <c:pt idx="11">
                <c:v>Instagram 2024 19-Aug</c:v>
              </c:pt>
              <c:pt idx="12">
                <c:v>Instagram 2024 26-Aug</c:v>
              </c:pt>
              <c:pt idx="13">
                <c:v>Instagram 2024 02-Sep</c:v>
              </c:pt>
              <c:pt idx="14">
                <c:v>Instagram 2024 09-Sep</c:v>
              </c:pt>
              <c:pt idx="15">
                <c:v>Instagram 2024 16-Sep</c:v>
              </c:pt>
              <c:pt idx="16">
                <c:v>Instagram 2024 23-Sep</c:v>
              </c:pt>
              <c:pt idx="17">
                <c:v>Instagram 2024 30-Sep</c:v>
              </c:pt>
              <c:pt idx="18">
                <c:v>Instagram 2024 07-Oct</c:v>
              </c:pt>
              <c:pt idx="19">
                <c:v>Instagram 2024 14-Oct</c:v>
              </c:pt>
              <c:pt idx="20">
                <c:v>Instagram 2024 21-Oct</c:v>
              </c:pt>
              <c:pt idx="21">
                <c:v>Instagram 2024 28-Oct</c:v>
              </c:pt>
              <c:pt idx="22">
                <c:v>Instagram 2024 04-Nov</c:v>
              </c:pt>
              <c:pt idx="23">
                <c:v>Instagram 2024 11-Nov</c:v>
              </c:pt>
              <c:pt idx="24">
                <c:v>Instagram 2024 18-Nov</c:v>
              </c:pt>
              <c:pt idx="25">
                <c:v>Instagram 2024 25-Nov</c:v>
              </c:pt>
              <c:pt idx="26">
                <c:v>Instagram 2024 02-Dec</c:v>
              </c:pt>
              <c:pt idx="27">
                <c:v>Instagram 2024 09-Dec</c:v>
              </c:pt>
              <c:pt idx="28">
                <c:v>Instagram 2024 16-Dec</c:v>
              </c:pt>
              <c:pt idx="29">
                <c:v>Instagram 2024 23-Dec</c:v>
              </c:pt>
              <c:pt idx="30">
                <c:v>Instagram 2024 30-Dec</c:v>
              </c:pt>
              <c:pt idx="31">
                <c:v>Instagram 2025 06-Jan</c:v>
              </c:pt>
              <c:pt idx="32">
                <c:v>Instagram 2025 13-Jan</c:v>
              </c:pt>
              <c:pt idx="33">
                <c:v>Instagram 2025 20-Jan</c:v>
              </c:pt>
              <c:pt idx="34">
                <c:v>Instagram 2025 27-Jan</c:v>
              </c:pt>
              <c:pt idx="35">
                <c:v>Instagram 2025 03-Feb</c:v>
              </c:pt>
              <c:pt idx="36">
                <c:v>Instagram 2025 10-Feb</c:v>
              </c:pt>
              <c:pt idx="37">
                <c:v>Instagram 2025 17-Feb</c:v>
              </c:pt>
              <c:pt idx="38">
                <c:v>Instagram 2025 24-Feb</c:v>
              </c:pt>
              <c:pt idx="39">
                <c:v>Instagram 2025 03-Mar</c:v>
              </c:pt>
              <c:pt idx="40">
                <c:v>Instagram 2025 10-Mar</c:v>
              </c:pt>
              <c:pt idx="41">
                <c:v>Instagram 2025 17-Mar</c:v>
              </c:pt>
              <c:pt idx="42">
                <c:v>Instagram 2025 24-Mar</c:v>
              </c:pt>
              <c:pt idx="43">
                <c:v>Instagram 2025 31-Mar</c:v>
              </c:pt>
              <c:pt idx="44">
                <c:v>Instagram 2025 07-Apr</c:v>
              </c:pt>
              <c:pt idx="45">
                <c:v>Instagram 2025 14-Apr</c:v>
              </c:pt>
              <c:pt idx="46">
                <c:v>Instagram 2025 21-Apr</c:v>
              </c:pt>
              <c:pt idx="47">
                <c:v>Instagram 2025 28-Apr</c:v>
              </c:pt>
              <c:pt idx="48">
                <c:v>Instagram 2025 05-May</c:v>
              </c:pt>
              <c:pt idx="49">
                <c:v>Instagram 2025 12-May</c:v>
              </c:pt>
              <c:pt idx="50">
                <c:v>Twitter 2024 03-Jun</c:v>
              </c:pt>
              <c:pt idx="51">
                <c:v>Twitter 2024 10-Jun</c:v>
              </c:pt>
              <c:pt idx="52">
                <c:v>Twitter 2024 17-Jun</c:v>
              </c:pt>
              <c:pt idx="53">
                <c:v>Twitter 2024 24-Jun</c:v>
              </c:pt>
              <c:pt idx="54">
                <c:v>Twitter 2024 01-Jul</c:v>
              </c:pt>
              <c:pt idx="55">
                <c:v>Twitter 2024 08-Jul</c:v>
              </c:pt>
              <c:pt idx="56">
                <c:v>Twitter 2024 15-Jul</c:v>
              </c:pt>
              <c:pt idx="57">
                <c:v>Twitter 2024 22-Jul</c:v>
              </c:pt>
              <c:pt idx="58">
                <c:v>Twitter 2024 29-Jul</c:v>
              </c:pt>
              <c:pt idx="59">
                <c:v>Twitter 2024 05-Aug</c:v>
              </c:pt>
              <c:pt idx="60">
                <c:v>Twitter 2024 12-Aug</c:v>
              </c:pt>
              <c:pt idx="61">
                <c:v>Twitter 2024 19-Aug</c:v>
              </c:pt>
              <c:pt idx="62">
                <c:v>Twitter 2024 26-Aug</c:v>
              </c:pt>
              <c:pt idx="63">
                <c:v>Twitter 2024 02-Sep</c:v>
              </c:pt>
              <c:pt idx="64">
                <c:v>Twitter 2024 09-Sep</c:v>
              </c:pt>
              <c:pt idx="65">
                <c:v>Twitter 2024 16-Sep</c:v>
              </c:pt>
              <c:pt idx="66">
                <c:v>Twitter 2024 23-Sep</c:v>
              </c:pt>
              <c:pt idx="67">
                <c:v>Twitter 2024 30-Sep</c:v>
              </c:pt>
              <c:pt idx="68">
                <c:v>Twitter 2024 07-Oct</c:v>
              </c:pt>
              <c:pt idx="69">
                <c:v>Twitter 2024 14-Oct</c:v>
              </c:pt>
              <c:pt idx="70">
                <c:v>Twitter 2024 21-Oct</c:v>
              </c:pt>
              <c:pt idx="71">
                <c:v>Twitter 2024 28-Oct</c:v>
              </c:pt>
              <c:pt idx="72">
                <c:v>Twitter 2024 04-Nov</c:v>
              </c:pt>
              <c:pt idx="73">
                <c:v>Twitter 2024 11-Nov</c:v>
              </c:pt>
              <c:pt idx="74">
                <c:v>Twitter 2024 18-Nov</c:v>
              </c:pt>
              <c:pt idx="75">
                <c:v>Twitter 2024 25-Nov</c:v>
              </c:pt>
              <c:pt idx="76">
                <c:v>Twitter 2024 02-Dec</c:v>
              </c:pt>
              <c:pt idx="77">
                <c:v>Twitter 2024 09-Dec</c:v>
              </c:pt>
              <c:pt idx="78">
                <c:v>Twitter 2024 16-Dec</c:v>
              </c:pt>
              <c:pt idx="79">
                <c:v>Twitter 2024 23-Dec</c:v>
              </c:pt>
              <c:pt idx="80">
                <c:v>Twitter 2024 30-Dec</c:v>
              </c:pt>
              <c:pt idx="81">
                <c:v>Twitter 2025 06-Jan</c:v>
              </c:pt>
              <c:pt idx="82">
                <c:v>Twitter 2025 13-Jan</c:v>
              </c:pt>
              <c:pt idx="83">
                <c:v>Twitter 2025 20-Jan</c:v>
              </c:pt>
              <c:pt idx="84">
                <c:v>Twitter 2025 27-Jan</c:v>
              </c:pt>
              <c:pt idx="85">
                <c:v>Twitter 2025 03-Feb</c:v>
              </c:pt>
              <c:pt idx="86">
                <c:v>Twitter 2025 10-Feb</c:v>
              </c:pt>
              <c:pt idx="87">
                <c:v>Twitter 2025 17-Feb</c:v>
              </c:pt>
              <c:pt idx="88">
                <c:v>Twitter 2025 24-Feb</c:v>
              </c:pt>
              <c:pt idx="89">
                <c:v>Twitter 2025 03-Mar</c:v>
              </c:pt>
              <c:pt idx="90">
                <c:v>Twitter 2025 10-Mar</c:v>
              </c:pt>
              <c:pt idx="91">
                <c:v>Twitter 2025 17-Mar</c:v>
              </c:pt>
              <c:pt idx="92">
                <c:v>Twitter 2025 24-Mar</c:v>
              </c:pt>
              <c:pt idx="93">
                <c:v>Twitter 2025 31-Mar</c:v>
              </c:pt>
              <c:pt idx="94">
                <c:v>Twitter 2025 07-Apr</c:v>
              </c:pt>
              <c:pt idx="95">
                <c:v>Twitter 2025 14-Apr</c:v>
              </c:pt>
              <c:pt idx="96">
                <c:v>Twitter 2025 21-Apr</c:v>
              </c:pt>
              <c:pt idx="97">
                <c:v>Twitter 2025 28-Apr</c:v>
              </c:pt>
              <c:pt idx="98">
                <c:v>Twitter 2025 05-May</c:v>
              </c:pt>
              <c:pt idx="99">
                <c:v>Twitter 2025 12-May</c:v>
              </c:pt>
              <c:pt idx="100">
                <c:v>Facebook 2024 03-Jun</c:v>
              </c:pt>
              <c:pt idx="101">
                <c:v>Facebook 2024 10-Jun</c:v>
              </c:pt>
              <c:pt idx="102">
                <c:v>Facebook 2024 17-Jun</c:v>
              </c:pt>
              <c:pt idx="103">
                <c:v>Facebook 2024 24-Jun</c:v>
              </c:pt>
              <c:pt idx="104">
                <c:v>Facebook 2024 01-Jul</c:v>
              </c:pt>
              <c:pt idx="105">
                <c:v>Facebook 2024 08-Jul</c:v>
              </c:pt>
              <c:pt idx="106">
                <c:v>Facebook 2024 15-Jul</c:v>
              </c:pt>
              <c:pt idx="107">
                <c:v>Facebook 2024 22-Jul</c:v>
              </c:pt>
              <c:pt idx="108">
                <c:v>Facebook 2024 29-Jul</c:v>
              </c:pt>
              <c:pt idx="109">
                <c:v>Facebook 2024 05-Aug</c:v>
              </c:pt>
              <c:pt idx="110">
                <c:v>Facebook 2024 12-Aug</c:v>
              </c:pt>
              <c:pt idx="111">
                <c:v>Facebook 2024 19-Aug</c:v>
              </c:pt>
              <c:pt idx="112">
                <c:v>Facebook 2024 26-Aug</c:v>
              </c:pt>
              <c:pt idx="113">
                <c:v>Facebook 2024 02-Sep</c:v>
              </c:pt>
              <c:pt idx="114">
                <c:v>Facebook 2024 09-Sep</c:v>
              </c:pt>
              <c:pt idx="115">
                <c:v>Facebook 2024 16-Sep</c:v>
              </c:pt>
              <c:pt idx="116">
                <c:v>Facebook 2024 23-Sep</c:v>
              </c:pt>
              <c:pt idx="117">
                <c:v>Facebook 2024 30-Sep</c:v>
              </c:pt>
              <c:pt idx="118">
                <c:v>Facebook 2024 07-Oct</c:v>
              </c:pt>
              <c:pt idx="119">
                <c:v>Facebook 2024 14-Oct</c:v>
              </c:pt>
              <c:pt idx="120">
                <c:v>Facebook 2024 21-Oct</c:v>
              </c:pt>
              <c:pt idx="121">
                <c:v>Facebook 2024 28-Oct</c:v>
              </c:pt>
              <c:pt idx="122">
                <c:v>Facebook 2024 04-Nov</c:v>
              </c:pt>
              <c:pt idx="123">
                <c:v>Facebook 2024 11-Nov</c:v>
              </c:pt>
              <c:pt idx="124">
                <c:v>Facebook 2024 18-Nov</c:v>
              </c:pt>
              <c:pt idx="125">
                <c:v>Facebook 2024 25-Nov</c:v>
              </c:pt>
              <c:pt idx="126">
                <c:v>Facebook 2024 02-Dec</c:v>
              </c:pt>
              <c:pt idx="127">
                <c:v>Facebook 2024 09-Dec</c:v>
              </c:pt>
              <c:pt idx="128">
                <c:v>Facebook 2024 16-Dec</c:v>
              </c:pt>
              <c:pt idx="129">
                <c:v>Facebook 2024 23-Dec</c:v>
              </c:pt>
              <c:pt idx="130">
                <c:v>Facebook 2024 30-Dec</c:v>
              </c:pt>
              <c:pt idx="131">
                <c:v>Facebook 2025 06-Jan</c:v>
              </c:pt>
              <c:pt idx="132">
                <c:v>Facebook 2025 13-Jan</c:v>
              </c:pt>
              <c:pt idx="133">
                <c:v>Facebook 2025 20-Jan</c:v>
              </c:pt>
              <c:pt idx="134">
                <c:v>Facebook 2025 27-Jan</c:v>
              </c:pt>
              <c:pt idx="135">
                <c:v>Facebook 2025 03-Feb</c:v>
              </c:pt>
              <c:pt idx="136">
                <c:v>Facebook 2025 10-Feb</c:v>
              </c:pt>
              <c:pt idx="137">
                <c:v>Facebook 2025 17-Feb</c:v>
              </c:pt>
              <c:pt idx="138">
                <c:v>Facebook 2025 24-Feb</c:v>
              </c:pt>
              <c:pt idx="139">
                <c:v>Facebook 2025 03-Mar</c:v>
              </c:pt>
              <c:pt idx="140">
                <c:v>Facebook 2025 10-Mar</c:v>
              </c:pt>
              <c:pt idx="141">
                <c:v>Facebook 2025 17-Mar</c:v>
              </c:pt>
              <c:pt idx="142">
                <c:v>Facebook 2025 24-Mar</c:v>
              </c:pt>
              <c:pt idx="143">
                <c:v>Facebook 2025 31-Mar</c:v>
              </c:pt>
              <c:pt idx="144">
                <c:v>Facebook 2025 07-Apr</c:v>
              </c:pt>
              <c:pt idx="145">
                <c:v>Facebook 2025 14-Apr</c:v>
              </c:pt>
              <c:pt idx="146">
                <c:v>Facebook 2025 21-Apr</c:v>
              </c:pt>
              <c:pt idx="147">
                <c:v>Facebook 2025 28-Apr</c:v>
              </c:pt>
              <c:pt idx="148">
                <c:v>Facebook 2025 05-May</c:v>
              </c:pt>
              <c:pt idx="149">
                <c:v>Facebook 2025 12-May</c:v>
              </c:pt>
              <c:pt idx="150">
                <c:v>YouTube 2024 03-Jun</c:v>
              </c:pt>
              <c:pt idx="151">
                <c:v>YouTube 2024 10-Jun</c:v>
              </c:pt>
              <c:pt idx="152">
                <c:v>YouTube 2024 17-Jun</c:v>
              </c:pt>
              <c:pt idx="153">
                <c:v>YouTube 2024 24-Jun</c:v>
              </c:pt>
              <c:pt idx="154">
                <c:v>YouTube 2024 01-Jul</c:v>
              </c:pt>
              <c:pt idx="155">
                <c:v>YouTube 2024 08-Jul</c:v>
              </c:pt>
              <c:pt idx="156">
                <c:v>YouTube 2024 15-Jul</c:v>
              </c:pt>
              <c:pt idx="157">
                <c:v>YouTube 2024 22-Jul</c:v>
              </c:pt>
              <c:pt idx="158">
                <c:v>YouTube 2024 29-Jul</c:v>
              </c:pt>
              <c:pt idx="159">
                <c:v>YouTube 2024 05-Aug</c:v>
              </c:pt>
              <c:pt idx="160">
                <c:v>YouTube 2024 12-Aug</c:v>
              </c:pt>
              <c:pt idx="161">
                <c:v>YouTube 2024 19-Aug</c:v>
              </c:pt>
              <c:pt idx="162">
                <c:v>YouTube 2024 26-Aug</c:v>
              </c:pt>
              <c:pt idx="163">
                <c:v>YouTube 2024 02-Sep</c:v>
              </c:pt>
              <c:pt idx="164">
                <c:v>YouTube 2024 09-Sep</c:v>
              </c:pt>
              <c:pt idx="165">
                <c:v>YouTube 2024 16-Sep</c:v>
              </c:pt>
              <c:pt idx="166">
                <c:v>YouTube 2024 23-Sep</c:v>
              </c:pt>
              <c:pt idx="167">
                <c:v>YouTube 2024 30-Sep</c:v>
              </c:pt>
              <c:pt idx="168">
                <c:v>YouTube 2024 07-Oct</c:v>
              </c:pt>
              <c:pt idx="169">
                <c:v>YouTube 2024 14-Oct</c:v>
              </c:pt>
              <c:pt idx="170">
                <c:v>YouTube 2024 21-Oct</c:v>
              </c:pt>
              <c:pt idx="171">
                <c:v>YouTube 2024 28-Oct</c:v>
              </c:pt>
              <c:pt idx="172">
                <c:v>YouTube 2024 04-Nov</c:v>
              </c:pt>
              <c:pt idx="173">
                <c:v>YouTube 2024 11-Nov</c:v>
              </c:pt>
              <c:pt idx="174">
                <c:v>YouTube 2024 18-Nov</c:v>
              </c:pt>
              <c:pt idx="175">
                <c:v>YouTube 2024 25-Nov</c:v>
              </c:pt>
              <c:pt idx="176">
                <c:v>YouTube 2024 02-Dec</c:v>
              </c:pt>
              <c:pt idx="177">
                <c:v>YouTube 2024 09-Dec</c:v>
              </c:pt>
              <c:pt idx="178">
                <c:v>YouTube 2024 16-Dec</c:v>
              </c:pt>
              <c:pt idx="179">
                <c:v>YouTube 2024 23-Dec</c:v>
              </c:pt>
              <c:pt idx="180">
                <c:v>YouTube 2024 30-Dec</c:v>
              </c:pt>
              <c:pt idx="181">
                <c:v>YouTube 2025 06-Jan</c:v>
              </c:pt>
              <c:pt idx="182">
                <c:v>YouTube 2025 13-Jan</c:v>
              </c:pt>
              <c:pt idx="183">
                <c:v>YouTube 2025 20-Jan</c:v>
              </c:pt>
              <c:pt idx="184">
                <c:v>YouTube 2025 27-Jan</c:v>
              </c:pt>
              <c:pt idx="185">
                <c:v>YouTube 2025 03-Feb</c:v>
              </c:pt>
              <c:pt idx="186">
                <c:v>YouTube 2025 10-Feb</c:v>
              </c:pt>
              <c:pt idx="187">
                <c:v>YouTube 2025 17-Feb</c:v>
              </c:pt>
              <c:pt idx="188">
                <c:v>YouTube 2025 24-Feb</c:v>
              </c:pt>
              <c:pt idx="189">
                <c:v>YouTube 2025 03-Mar</c:v>
              </c:pt>
              <c:pt idx="190">
                <c:v>YouTube 2025 10-Mar</c:v>
              </c:pt>
              <c:pt idx="191">
                <c:v>YouTube 2025 17-Mar</c:v>
              </c:pt>
              <c:pt idx="192">
                <c:v>YouTube 2025 24-Mar</c:v>
              </c:pt>
              <c:pt idx="193">
                <c:v>YouTube 2025 31-Mar</c:v>
              </c:pt>
              <c:pt idx="194">
                <c:v>YouTube 2025 07-Apr</c:v>
              </c:pt>
              <c:pt idx="195">
                <c:v>YouTube 2025 14-Apr</c:v>
              </c:pt>
              <c:pt idx="196">
                <c:v>YouTube 2025 21-Apr</c:v>
              </c:pt>
              <c:pt idx="197">
                <c:v>YouTube 2025 28-Apr</c:v>
              </c:pt>
              <c:pt idx="198">
                <c:v>YouTube 2025 05-May</c:v>
              </c:pt>
              <c:pt idx="199">
                <c:v>YouTube 2025 12-May</c:v>
              </c:pt>
            </c:strLit>
          </c:cat>
          <c:val>
            <c:numLit>
              <c:formatCode>General</c:formatCode>
              <c:ptCount val="200"/>
              <c:pt idx="0">
                <c:v>344084</c:v>
              </c:pt>
              <c:pt idx="1">
                <c:v>49157</c:v>
              </c:pt>
              <c:pt idx="2">
                <c:v>456946</c:v>
              </c:pt>
              <c:pt idx="3">
                <c:v>35664</c:v>
              </c:pt>
              <c:pt idx="4">
                <c:v>419447</c:v>
              </c:pt>
              <c:pt idx="5">
                <c:v>58223</c:v>
              </c:pt>
              <c:pt idx="6">
                <c:v>154169</c:v>
              </c:pt>
              <c:pt idx="7">
                <c:v>473812</c:v>
              </c:pt>
              <c:pt idx="8">
                <c:v>23664</c:v>
              </c:pt>
              <c:pt idx="9">
                <c:v>437968</c:v>
              </c:pt>
              <c:pt idx="10">
                <c:v>489188</c:v>
              </c:pt>
              <c:pt idx="11">
                <c:v>325444</c:v>
              </c:pt>
              <c:pt idx="12">
                <c:v>453799</c:v>
              </c:pt>
              <c:pt idx="13">
                <c:v>101332</c:v>
              </c:pt>
              <c:pt idx="14">
                <c:v>378054</c:v>
              </c:pt>
              <c:pt idx="15">
                <c:v>50793</c:v>
              </c:pt>
              <c:pt idx="16">
                <c:v>422625</c:v>
              </c:pt>
              <c:pt idx="17">
                <c:v>370269</c:v>
              </c:pt>
              <c:pt idx="18">
                <c:v>187183</c:v>
              </c:pt>
              <c:pt idx="19">
                <c:v>388555</c:v>
              </c:pt>
              <c:pt idx="20">
                <c:v>357089</c:v>
              </c:pt>
              <c:pt idx="21">
                <c:v>346522</c:v>
              </c:pt>
              <c:pt idx="22">
                <c:v>54935</c:v>
              </c:pt>
              <c:pt idx="23">
                <c:v>51395</c:v>
              </c:pt>
              <c:pt idx="24">
                <c:v>51087</c:v>
              </c:pt>
              <c:pt idx="25">
                <c:v>282466</c:v>
              </c:pt>
              <c:pt idx="26">
                <c:v>421957</c:v>
              </c:pt>
              <c:pt idx="27">
                <c:v>220616</c:v>
              </c:pt>
              <c:pt idx="28">
                <c:v>465553</c:v>
              </c:pt>
              <c:pt idx="29">
                <c:v>280795</c:v>
              </c:pt>
              <c:pt idx="30">
                <c:v>140804</c:v>
              </c:pt>
              <c:pt idx="31">
                <c:v>466382</c:v>
              </c:pt>
              <c:pt idx="32">
                <c:v>349413</c:v>
              </c:pt>
              <c:pt idx="33">
                <c:v>383681</c:v>
              </c:pt>
              <c:pt idx="34">
                <c:v>357265</c:v>
              </c:pt>
              <c:pt idx="35">
                <c:v>351556</c:v>
              </c:pt>
              <c:pt idx="36">
                <c:v>222126</c:v>
              </c:pt>
              <c:pt idx="37">
                <c:v>453243</c:v>
              </c:pt>
              <c:pt idx="38">
                <c:v>126524</c:v>
              </c:pt>
              <c:pt idx="39">
                <c:v>257579</c:v>
              </c:pt>
              <c:pt idx="40">
                <c:v>462142</c:v>
              </c:pt>
              <c:pt idx="41">
                <c:v>410330</c:v>
              </c:pt>
              <c:pt idx="42">
                <c:v>364810</c:v>
              </c:pt>
              <c:pt idx="43">
                <c:v>282780</c:v>
              </c:pt>
              <c:pt idx="44">
                <c:v>78789</c:v>
              </c:pt>
              <c:pt idx="45">
                <c:v>66682</c:v>
              </c:pt>
              <c:pt idx="46">
                <c:v>62942</c:v>
              </c:pt>
              <c:pt idx="47">
                <c:v>445944</c:v>
              </c:pt>
              <c:pt idx="48">
                <c:v>447902</c:v>
              </c:pt>
              <c:pt idx="49">
                <c:v>468301</c:v>
              </c:pt>
              <c:pt idx="50">
                <c:v>146834</c:v>
              </c:pt>
              <c:pt idx="51">
                <c:v>254347</c:v>
              </c:pt>
              <c:pt idx="52">
                <c:v>122732</c:v>
              </c:pt>
              <c:pt idx="53">
                <c:v>298421</c:v>
              </c:pt>
              <c:pt idx="54">
                <c:v>315305</c:v>
              </c:pt>
              <c:pt idx="55">
                <c:v>389810</c:v>
              </c:pt>
              <c:pt idx="56">
                <c:v>226002</c:v>
              </c:pt>
              <c:pt idx="57">
                <c:v>198278</c:v>
              </c:pt>
              <c:pt idx="58">
                <c:v>287574</c:v>
              </c:pt>
              <c:pt idx="59">
                <c:v>449994</c:v>
              </c:pt>
              <c:pt idx="60">
                <c:v>434883</c:v>
              </c:pt>
              <c:pt idx="61">
                <c:v>188655</c:v>
              </c:pt>
              <c:pt idx="62">
                <c:v>186454</c:v>
              </c:pt>
              <c:pt idx="63">
                <c:v>318779</c:v>
              </c:pt>
              <c:pt idx="64">
                <c:v>434047</c:v>
              </c:pt>
              <c:pt idx="65">
                <c:v>392355</c:v>
              </c:pt>
              <c:pt idx="66">
                <c:v>268516</c:v>
              </c:pt>
              <c:pt idx="67">
                <c:v>64906</c:v>
              </c:pt>
              <c:pt idx="68">
                <c:v>476486</c:v>
              </c:pt>
              <c:pt idx="69">
                <c:v>309772</c:v>
              </c:pt>
              <c:pt idx="70">
                <c:v>258287</c:v>
              </c:pt>
              <c:pt idx="71">
                <c:v>240550</c:v>
              </c:pt>
              <c:pt idx="72">
                <c:v>439080</c:v>
              </c:pt>
              <c:pt idx="73">
                <c:v>87305</c:v>
              </c:pt>
              <c:pt idx="74">
                <c:v>487523</c:v>
              </c:pt>
              <c:pt idx="75">
                <c:v>88455</c:v>
              </c:pt>
              <c:pt idx="76">
                <c:v>309904</c:v>
              </c:pt>
              <c:pt idx="77">
                <c:v>20607</c:v>
              </c:pt>
              <c:pt idx="78">
                <c:v>327183</c:v>
              </c:pt>
              <c:pt idx="79">
                <c:v>81119</c:v>
              </c:pt>
              <c:pt idx="80">
                <c:v>274831</c:v>
              </c:pt>
              <c:pt idx="81">
                <c:v>371156</c:v>
              </c:pt>
              <c:pt idx="82">
                <c:v>487896</c:v>
              </c:pt>
              <c:pt idx="83">
                <c:v>124404</c:v>
              </c:pt>
              <c:pt idx="84">
                <c:v>262569</c:v>
              </c:pt>
              <c:pt idx="85">
                <c:v>177554</c:v>
              </c:pt>
              <c:pt idx="86">
                <c:v>126582</c:v>
              </c:pt>
              <c:pt idx="87">
                <c:v>145608</c:v>
              </c:pt>
              <c:pt idx="88">
                <c:v>317007</c:v>
              </c:pt>
              <c:pt idx="89">
                <c:v>466575</c:v>
              </c:pt>
              <c:pt idx="90">
                <c:v>12471</c:v>
              </c:pt>
              <c:pt idx="91">
                <c:v>12447</c:v>
              </c:pt>
              <c:pt idx="92">
                <c:v>211090</c:v>
              </c:pt>
              <c:pt idx="93">
                <c:v>198350</c:v>
              </c:pt>
              <c:pt idx="94">
                <c:v>29589</c:v>
              </c:pt>
              <c:pt idx="95">
                <c:v>142507</c:v>
              </c:pt>
              <c:pt idx="96">
                <c:v>333851</c:v>
              </c:pt>
              <c:pt idx="97">
                <c:v>487289</c:v>
              </c:pt>
              <c:pt idx="98">
                <c:v>484364</c:v>
              </c:pt>
              <c:pt idx="99">
                <c:v>456298</c:v>
              </c:pt>
              <c:pt idx="100">
                <c:v>42654</c:v>
              </c:pt>
              <c:pt idx="101">
                <c:v>316555</c:v>
              </c:pt>
              <c:pt idx="102">
                <c:v>169496</c:v>
              </c:pt>
              <c:pt idx="103">
                <c:v>26295</c:v>
              </c:pt>
              <c:pt idx="104">
                <c:v>220020</c:v>
              </c:pt>
              <c:pt idx="105">
                <c:v>251694</c:v>
              </c:pt>
              <c:pt idx="106">
                <c:v>334626</c:v>
              </c:pt>
              <c:pt idx="107">
                <c:v>295032</c:v>
              </c:pt>
              <c:pt idx="108">
                <c:v>435034</c:v>
              </c:pt>
              <c:pt idx="109">
                <c:v>125034</c:v>
              </c:pt>
              <c:pt idx="110">
                <c:v>307612</c:v>
              </c:pt>
              <c:pt idx="111">
                <c:v>183924</c:v>
              </c:pt>
              <c:pt idx="112">
                <c:v>379380</c:v>
              </c:pt>
              <c:pt idx="113">
                <c:v>496982</c:v>
              </c:pt>
              <c:pt idx="114">
                <c:v>307524</c:v>
              </c:pt>
              <c:pt idx="115">
                <c:v>474162</c:v>
              </c:pt>
              <c:pt idx="116">
                <c:v>239753</c:v>
              </c:pt>
              <c:pt idx="117">
                <c:v>453423</c:v>
              </c:pt>
              <c:pt idx="118">
                <c:v>379363</c:v>
              </c:pt>
              <c:pt idx="119">
                <c:v>157599</c:v>
              </c:pt>
              <c:pt idx="120">
                <c:v>23492</c:v>
              </c:pt>
              <c:pt idx="121">
                <c:v>209987</c:v>
              </c:pt>
              <c:pt idx="122">
                <c:v>319186</c:v>
              </c:pt>
              <c:pt idx="123">
                <c:v>309483</c:v>
              </c:pt>
              <c:pt idx="124">
                <c:v>338847</c:v>
              </c:pt>
              <c:pt idx="125">
                <c:v>336661</c:v>
              </c:pt>
              <c:pt idx="126">
                <c:v>470269</c:v>
              </c:pt>
              <c:pt idx="127">
                <c:v>35842</c:v>
              </c:pt>
              <c:pt idx="128">
                <c:v>415815</c:v>
              </c:pt>
              <c:pt idx="129">
                <c:v>93347</c:v>
              </c:pt>
              <c:pt idx="130">
                <c:v>379431</c:v>
              </c:pt>
              <c:pt idx="131">
                <c:v>95728</c:v>
              </c:pt>
              <c:pt idx="132">
                <c:v>224699</c:v>
              </c:pt>
              <c:pt idx="133">
                <c:v>479490</c:v>
              </c:pt>
              <c:pt idx="134">
                <c:v>321307</c:v>
              </c:pt>
              <c:pt idx="135">
                <c:v>135987</c:v>
              </c:pt>
              <c:pt idx="136">
                <c:v>309914</c:v>
              </c:pt>
              <c:pt idx="137">
                <c:v>104967</c:v>
              </c:pt>
              <c:pt idx="138">
                <c:v>230448</c:v>
              </c:pt>
              <c:pt idx="139">
                <c:v>366881</c:v>
              </c:pt>
              <c:pt idx="140">
                <c:v>340842</c:v>
              </c:pt>
              <c:pt idx="141">
                <c:v>342129</c:v>
              </c:pt>
              <c:pt idx="142">
                <c:v>373606</c:v>
              </c:pt>
              <c:pt idx="143">
                <c:v>370070</c:v>
              </c:pt>
              <c:pt idx="144">
                <c:v>98596</c:v>
              </c:pt>
              <c:pt idx="145">
                <c:v>70707</c:v>
              </c:pt>
              <c:pt idx="146">
                <c:v>377382</c:v>
              </c:pt>
              <c:pt idx="147">
                <c:v>224830</c:v>
              </c:pt>
              <c:pt idx="148">
                <c:v>418696</c:v>
              </c:pt>
              <c:pt idx="149">
                <c:v>364820</c:v>
              </c:pt>
              <c:pt idx="150">
                <c:v>395536</c:v>
              </c:pt>
              <c:pt idx="151">
                <c:v>413878</c:v>
              </c:pt>
              <c:pt idx="152">
                <c:v>382851</c:v>
              </c:pt>
              <c:pt idx="153">
                <c:v>426184</c:v>
              </c:pt>
              <c:pt idx="154">
                <c:v>113678</c:v>
              </c:pt>
              <c:pt idx="155">
                <c:v>233694</c:v>
              </c:pt>
              <c:pt idx="156">
                <c:v>156683</c:v>
              </c:pt>
              <c:pt idx="157">
                <c:v>306564</c:v>
              </c:pt>
              <c:pt idx="158">
                <c:v>62499</c:v>
              </c:pt>
              <c:pt idx="159">
                <c:v>320650</c:v>
              </c:pt>
              <c:pt idx="160">
                <c:v>102042</c:v>
              </c:pt>
              <c:pt idx="161">
                <c:v>87443</c:v>
              </c:pt>
              <c:pt idx="162">
                <c:v>239044</c:v>
              </c:pt>
              <c:pt idx="163">
                <c:v>370971</c:v>
              </c:pt>
              <c:pt idx="164">
                <c:v>64583</c:v>
              </c:pt>
              <c:pt idx="165">
                <c:v>119934</c:v>
              </c:pt>
              <c:pt idx="166">
                <c:v>63177</c:v>
              </c:pt>
              <c:pt idx="167">
                <c:v>94360</c:v>
              </c:pt>
              <c:pt idx="168">
                <c:v>117767</c:v>
              </c:pt>
              <c:pt idx="169">
                <c:v>199178</c:v>
              </c:pt>
              <c:pt idx="170">
                <c:v>256910</c:v>
              </c:pt>
              <c:pt idx="171">
                <c:v>305827</c:v>
              </c:pt>
              <c:pt idx="172">
                <c:v>258944</c:v>
              </c:pt>
              <c:pt idx="173">
                <c:v>121091</c:v>
              </c:pt>
              <c:pt idx="174">
                <c:v>301695</c:v>
              </c:pt>
              <c:pt idx="175">
                <c:v>62535</c:v>
              </c:pt>
              <c:pt idx="176">
                <c:v>221274</c:v>
              </c:pt>
              <c:pt idx="177">
                <c:v>451894</c:v>
              </c:pt>
              <c:pt idx="178">
                <c:v>488901</c:v>
              </c:pt>
              <c:pt idx="179">
                <c:v>25177</c:v>
              </c:pt>
              <c:pt idx="180">
                <c:v>136845</c:v>
              </c:pt>
              <c:pt idx="181">
                <c:v>95410</c:v>
              </c:pt>
              <c:pt idx="182">
                <c:v>14437</c:v>
              </c:pt>
              <c:pt idx="183">
                <c:v>336949</c:v>
              </c:pt>
              <c:pt idx="184">
                <c:v>461669</c:v>
              </c:pt>
              <c:pt idx="185">
                <c:v>270766</c:v>
              </c:pt>
              <c:pt idx="186">
                <c:v>485280</c:v>
              </c:pt>
              <c:pt idx="187">
                <c:v>105980</c:v>
              </c:pt>
              <c:pt idx="188">
                <c:v>464239</c:v>
              </c:pt>
              <c:pt idx="189">
                <c:v>224534</c:v>
              </c:pt>
              <c:pt idx="190">
                <c:v>98397</c:v>
              </c:pt>
              <c:pt idx="191">
                <c:v>17380</c:v>
              </c:pt>
              <c:pt idx="192">
                <c:v>441931</c:v>
              </c:pt>
              <c:pt idx="193">
                <c:v>435726</c:v>
              </c:pt>
              <c:pt idx="194">
                <c:v>290354</c:v>
              </c:pt>
              <c:pt idx="195">
                <c:v>369525</c:v>
              </c:pt>
              <c:pt idx="196">
                <c:v>270958</c:v>
              </c:pt>
              <c:pt idx="197">
                <c:v>11435</c:v>
              </c:pt>
              <c:pt idx="198">
                <c:v>148477</c:v>
              </c:pt>
              <c:pt idx="199">
                <c:v>82558</c:v>
              </c:pt>
            </c:numLit>
          </c:val>
          <c:smooth val="0"/>
          <c:extLst>
            <c:ext xmlns:c16="http://schemas.microsoft.com/office/drawing/2014/chart" uri="{C3380CC4-5D6E-409C-BE32-E72D297353CC}">
              <c16:uniqueId val="{00000000-4B41-466A-A2C6-6AC510E56742}"/>
            </c:ext>
          </c:extLst>
        </c:ser>
        <c:ser>
          <c:idx val="1"/>
          <c:order val="1"/>
          <c:tx>
            <c:v>Sum of Net Followers</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Lit>
              <c:ptCount val="200"/>
              <c:pt idx="0">
                <c:v>Instagram 2024 03-Jun</c:v>
              </c:pt>
              <c:pt idx="1">
                <c:v>Instagram 2024 10-Jun</c:v>
              </c:pt>
              <c:pt idx="2">
                <c:v>Instagram 2024 17-Jun</c:v>
              </c:pt>
              <c:pt idx="3">
                <c:v>Instagram 2024 24-Jun</c:v>
              </c:pt>
              <c:pt idx="4">
                <c:v>Instagram 2024 01-Jul</c:v>
              </c:pt>
              <c:pt idx="5">
                <c:v>Instagram 2024 08-Jul</c:v>
              </c:pt>
              <c:pt idx="6">
                <c:v>Instagram 2024 15-Jul</c:v>
              </c:pt>
              <c:pt idx="7">
                <c:v>Instagram 2024 22-Jul</c:v>
              </c:pt>
              <c:pt idx="8">
                <c:v>Instagram 2024 29-Jul</c:v>
              </c:pt>
              <c:pt idx="9">
                <c:v>Instagram 2024 05-Aug</c:v>
              </c:pt>
              <c:pt idx="10">
                <c:v>Instagram 2024 12-Aug</c:v>
              </c:pt>
              <c:pt idx="11">
                <c:v>Instagram 2024 19-Aug</c:v>
              </c:pt>
              <c:pt idx="12">
                <c:v>Instagram 2024 26-Aug</c:v>
              </c:pt>
              <c:pt idx="13">
                <c:v>Instagram 2024 02-Sep</c:v>
              </c:pt>
              <c:pt idx="14">
                <c:v>Instagram 2024 09-Sep</c:v>
              </c:pt>
              <c:pt idx="15">
                <c:v>Instagram 2024 16-Sep</c:v>
              </c:pt>
              <c:pt idx="16">
                <c:v>Instagram 2024 23-Sep</c:v>
              </c:pt>
              <c:pt idx="17">
                <c:v>Instagram 2024 30-Sep</c:v>
              </c:pt>
              <c:pt idx="18">
                <c:v>Instagram 2024 07-Oct</c:v>
              </c:pt>
              <c:pt idx="19">
                <c:v>Instagram 2024 14-Oct</c:v>
              </c:pt>
              <c:pt idx="20">
                <c:v>Instagram 2024 21-Oct</c:v>
              </c:pt>
              <c:pt idx="21">
                <c:v>Instagram 2024 28-Oct</c:v>
              </c:pt>
              <c:pt idx="22">
                <c:v>Instagram 2024 04-Nov</c:v>
              </c:pt>
              <c:pt idx="23">
                <c:v>Instagram 2024 11-Nov</c:v>
              </c:pt>
              <c:pt idx="24">
                <c:v>Instagram 2024 18-Nov</c:v>
              </c:pt>
              <c:pt idx="25">
                <c:v>Instagram 2024 25-Nov</c:v>
              </c:pt>
              <c:pt idx="26">
                <c:v>Instagram 2024 02-Dec</c:v>
              </c:pt>
              <c:pt idx="27">
                <c:v>Instagram 2024 09-Dec</c:v>
              </c:pt>
              <c:pt idx="28">
                <c:v>Instagram 2024 16-Dec</c:v>
              </c:pt>
              <c:pt idx="29">
                <c:v>Instagram 2024 23-Dec</c:v>
              </c:pt>
              <c:pt idx="30">
                <c:v>Instagram 2024 30-Dec</c:v>
              </c:pt>
              <c:pt idx="31">
                <c:v>Instagram 2025 06-Jan</c:v>
              </c:pt>
              <c:pt idx="32">
                <c:v>Instagram 2025 13-Jan</c:v>
              </c:pt>
              <c:pt idx="33">
                <c:v>Instagram 2025 20-Jan</c:v>
              </c:pt>
              <c:pt idx="34">
                <c:v>Instagram 2025 27-Jan</c:v>
              </c:pt>
              <c:pt idx="35">
                <c:v>Instagram 2025 03-Feb</c:v>
              </c:pt>
              <c:pt idx="36">
                <c:v>Instagram 2025 10-Feb</c:v>
              </c:pt>
              <c:pt idx="37">
                <c:v>Instagram 2025 17-Feb</c:v>
              </c:pt>
              <c:pt idx="38">
                <c:v>Instagram 2025 24-Feb</c:v>
              </c:pt>
              <c:pt idx="39">
                <c:v>Instagram 2025 03-Mar</c:v>
              </c:pt>
              <c:pt idx="40">
                <c:v>Instagram 2025 10-Mar</c:v>
              </c:pt>
              <c:pt idx="41">
                <c:v>Instagram 2025 17-Mar</c:v>
              </c:pt>
              <c:pt idx="42">
                <c:v>Instagram 2025 24-Mar</c:v>
              </c:pt>
              <c:pt idx="43">
                <c:v>Instagram 2025 31-Mar</c:v>
              </c:pt>
              <c:pt idx="44">
                <c:v>Instagram 2025 07-Apr</c:v>
              </c:pt>
              <c:pt idx="45">
                <c:v>Instagram 2025 14-Apr</c:v>
              </c:pt>
              <c:pt idx="46">
                <c:v>Instagram 2025 21-Apr</c:v>
              </c:pt>
              <c:pt idx="47">
                <c:v>Instagram 2025 28-Apr</c:v>
              </c:pt>
              <c:pt idx="48">
                <c:v>Instagram 2025 05-May</c:v>
              </c:pt>
              <c:pt idx="49">
                <c:v>Instagram 2025 12-May</c:v>
              </c:pt>
              <c:pt idx="50">
                <c:v>Twitter 2024 03-Jun</c:v>
              </c:pt>
              <c:pt idx="51">
                <c:v>Twitter 2024 10-Jun</c:v>
              </c:pt>
              <c:pt idx="52">
                <c:v>Twitter 2024 17-Jun</c:v>
              </c:pt>
              <c:pt idx="53">
                <c:v>Twitter 2024 24-Jun</c:v>
              </c:pt>
              <c:pt idx="54">
                <c:v>Twitter 2024 01-Jul</c:v>
              </c:pt>
              <c:pt idx="55">
                <c:v>Twitter 2024 08-Jul</c:v>
              </c:pt>
              <c:pt idx="56">
                <c:v>Twitter 2024 15-Jul</c:v>
              </c:pt>
              <c:pt idx="57">
                <c:v>Twitter 2024 22-Jul</c:v>
              </c:pt>
              <c:pt idx="58">
                <c:v>Twitter 2024 29-Jul</c:v>
              </c:pt>
              <c:pt idx="59">
                <c:v>Twitter 2024 05-Aug</c:v>
              </c:pt>
              <c:pt idx="60">
                <c:v>Twitter 2024 12-Aug</c:v>
              </c:pt>
              <c:pt idx="61">
                <c:v>Twitter 2024 19-Aug</c:v>
              </c:pt>
              <c:pt idx="62">
                <c:v>Twitter 2024 26-Aug</c:v>
              </c:pt>
              <c:pt idx="63">
                <c:v>Twitter 2024 02-Sep</c:v>
              </c:pt>
              <c:pt idx="64">
                <c:v>Twitter 2024 09-Sep</c:v>
              </c:pt>
              <c:pt idx="65">
                <c:v>Twitter 2024 16-Sep</c:v>
              </c:pt>
              <c:pt idx="66">
                <c:v>Twitter 2024 23-Sep</c:v>
              </c:pt>
              <c:pt idx="67">
                <c:v>Twitter 2024 30-Sep</c:v>
              </c:pt>
              <c:pt idx="68">
                <c:v>Twitter 2024 07-Oct</c:v>
              </c:pt>
              <c:pt idx="69">
                <c:v>Twitter 2024 14-Oct</c:v>
              </c:pt>
              <c:pt idx="70">
                <c:v>Twitter 2024 21-Oct</c:v>
              </c:pt>
              <c:pt idx="71">
                <c:v>Twitter 2024 28-Oct</c:v>
              </c:pt>
              <c:pt idx="72">
                <c:v>Twitter 2024 04-Nov</c:v>
              </c:pt>
              <c:pt idx="73">
                <c:v>Twitter 2024 11-Nov</c:v>
              </c:pt>
              <c:pt idx="74">
                <c:v>Twitter 2024 18-Nov</c:v>
              </c:pt>
              <c:pt idx="75">
                <c:v>Twitter 2024 25-Nov</c:v>
              </c:pt>
              <c:pt idx="76">
                <c:v>Twitter 2024 02-Dec</c:v>
              </c:pt>
              <c:pt idx="77">
                <c:v>Twitter 2024 09-Dec</c:v>
              </c:pt>
              <c:pt idx="78">
                <c:v>Twitter 2024 16-Dec</c:v>
              </c:pt>
              <c:pt idx="79">
                <c:v>Twitter 2024 23-Dec</c:v>
              </c:pt>
              <c:pt idx="80">
                <c:v>Twitter 2024 30-Dec</c:v>
              </c:pt>
              <c:pt idx="81">
                <c:v>Twitter 2025 06-Jan</c:v>
              </c:pt>
              <c:pt idx="82">
                <c:v>Twitter 2025 13-Jan</c:v>
              </c:pt>
              <c:pt idx="83">
                <c:v>Twitter 2025 20-Jan</c:v>
              </c:pt>
              <c:pt idx="84">
                <c:v>Twitter 2025 27-Jan</c:v>
              </c:pt>
              <c:pt idx="85">
                <c:v>Twitter 2025 03-Feb</c:v>
              </c:pt>
              <c:pt idx="86">
                <c:v>Twitter 2025 10-Feb</c:v>
              </c:pt>
              <c:pt idx="87">
                <c:v>Twitter 2025 17-Feb</c:v>
              </c:pt>
              <c:pt idx="88">
                <c:v>Twitter 2025 24-Feb</c:v>
              </c:pt>
              <c:pt idx="89">
                <c:v>Twitter 2025 03-Mar</c:v>
              </c:pt>
              <c:pt idx="90">
                <c:v>Twitter 2025 10-Mar</c:v>
              </c:pt>
              <c:pt idx="91">
                <c:v>Twitter 2025 17-Mar</c:v>
              </c:pt>
              <c:pt idx="92">
                <c:v>Twitter 2025 24-Mar</c:v>
              </c:pt>
              <c:pt idx="93">
                <c:v>Twitter 2025 31-Mar</c:v>
              </c:pt>
              <c:pt idx="94">
                <c:v>Twitter 2025 07-Apr</c:v>
              </c:pt>
              <c:pt idx="95">
                <c:v>Twitter 2025 14-Apr</c:v>
              </c:pt>
              <c:pt idx="96">
                <c:v>Twitter 2025 21-Apr</c:v>
              </c:pt>
              <c:pt idx="97">
                <c:v>Twitter 2025 28-Apr</c:v>
              </c:pt>
              <c:pt idx="98">
                <c:v>Twitter 2025 05-May</c:v>
              </c:pt>
              <c:pt idx="99">
                <c:v>Twitter 2025 12-May</c:v>
              </c:pt>
              <c:pt idx="100">
                <c:v>Facebook 2024 03-Jun</c:v>
              </c:pt>
              <c:pt idx="101">
                <c:v>Facebook 2024 10-Jun</c:v>
              </c:pt>
              <c:pt idx="102">
                <c:v>Facebook 2024 17-Jun</c:v>
              </c:pt>
              <c:pt idx="103">
                <c:v>Facebook 2024 24-Jun</c:v>
              </c:pt>
              <c:pt idx="104">
                <c:v>Facebook 2024 01-Jul</c:v>
              </c:pt>
              <c:pt idx="105">
                <c:v>Facebook 2024 08-Jul</c:v>
              </c:pt>
              <c:pt idx="106">
                <c:v>Facebook 2024 15-Jul</c:v>
              </c:pt>
              <c:pt idx="107">
                <c:v>Facebook 2024 22-Jul</c:v>
              </c:pt>
              <c:pt idx="108">
                <c:v>Facebook 2024 29-Jul</c:v>
              </c:pt>
              <c:pt idx="109">
                <c:v>Facebook 2024 05-Aug</c:v>
              </c:pt>
              <c:pt idx="110">
                <c:v>Facebook 2024 12-Aug</c:v>
              </c:pt>
              <c:pt idx="111">
                <c:v>Facebook 2024 19-Aug</c:v>
              </c:pt>
              <c:pt idx="112">
                <c:v>Facebook 2024 26-Aug</c:v>
              </c:pt>
              <c:pt idx="113">
                <c:v>Facebook 2024 02-Sep</c:v>
              </c:pt>
              <c:pt idx="114">
                <c:v>Facebook 2024 09-Sep</c:v>
              </c:pt>
              <c:pt idx="115">
                <c:v>Facebook 2024 16-Sep</c:v>
              </c:pt>
              <c:pt idx="116">
                <c:v>Facebook 2024 23-Sep</c:v>
              </c:pt>
              <c:pt idx="117">
                <c:v>Facebook 2024 30-Sep</c:v>
              </c:pt>
              <c:pt idx="118">
                <c:v>Facebook 2024 07-Oct</c:v>
              </c:pt>
              <c:pt idx="119">
                <c:v>Facebook 2024 14-Oct</c:v>
              </c:pt>
              <c:pt idx="120">
                <c:v>Facebook 2024 21-Oct</c:v>
              </c:pt>
              <c:pt idx="121">
                <c:v>Facebook 2024 28-Oct</c:v>
              </c:pt>
              <c:pt idx="122">
                <c:v>Facebook 2024 04-Nov</c:v>
              </c:pt>
              <c:pt idx="123">
                <c:v>Facebook 2024 11-Nov</c:v>
              </c:pt>
              <c:pt idx="124">
                <c:v>Facebook 2024 18-Nov</c:v>
              </c:pt>
              <c:pt idx="125">
                <c:v>Facebook 2024 25-Nov</c:v>
              </c:pt>
              <c:pt idx="126">
                <c:v>Facebook 2024 02-Dec</c:v>
              </c:pt>
              <c:pt idx="127">
                <c:v>Facebook 2024 09-Dec</c:v>
              </c:pt>
              <c:pt idx="128">
                <c:v>Facebook 2024 16-Dec</c:v>
              </c:pt>
              <c:pt idx="129">
                <c:v>Facebook 2024 23-Dec</c:v>
              </c:pt>
              <c:pt idx="130">
                <c:v>Facebook 2024 30-Dec</c:v>
              </c:pt>
              <c:pt idx="131">
                <c:v>Facebook 2025 06-Jan</c:v>
              </c:pt>
              <c:pt idx="132">
                <c:v>Facebook 2025 13-Jan</c:v>
              </c:pt>
              <c:pt idx="133">
                <c:v>Facebook 2025 20-Jan</c:v>
              </c:pt>
              <c:pt idx="134">
                <c:v>Facebook 2025 27-Jan</c:v>
              </c:pt>
              <c:pt idx="135">
                <c:v>Facebook 2025 03-Feb</c:v>
              </c:pt>
              <c:pt idx="136">
                <c:v>Facebook 2025 10-Feb</c:v>
              </c:pt>
              <c:pt idx="137">
                <c:v>Facebook 2025 17-Feb</c:v>
              </c:pt>
              <c:pt idx="138">
                <c:v>Facebook 2025 24-Feb</c:v>
              </c:pt>
              <c:pt idx="139">
                <c:v>Facebook 2025 03-Mar</c:v>
              </c:pt>
              <c:pt idx="140">
                <c:v>Facebook 2025 10-Mar</c:v>
              </c:pt>
              <c:pt idx="141">
                <c:v>Facebook 2025 17-Mar</c:v>
              </c:pt>
              <c:pt idx="142">
                <c:v>Facebook 2025 24-Mar</c:v>
              </c:pt>
              <c:pt idx="143">
                <c:v>Facebook 2025 31-Mar</c:v>
              </c:pt>
              <c:pt idx="144">
                <c:v>Facebook 2025 07-Apr</c:v>
              </c:pt>
              <c:pt idx="145">
                <c:v>Facebook 2025 14-Apr</c:v>
              </c:pt>
              <c:pt idx="146">
                <c:v>Facebook 2025 21-Apr</c:v>
              </c:pt>
              <c:pt idx="147">
                <c:v>Facebook 2025 28-Apr</c:v>
              </c:pt>
              <c:pt idx="148">
                <c:v>Facebook 2025 05-May</c:v>
              </c:pt>
              <c:pt idx="149">
                <c:v>Facebook 2025 12-May</c:v>
              </c:pt>
              <c:pt idx="150">
                <c:v>YouTube 2024 03-Jun</c:v>
              </c:pt>
              <c:pt idx="151">
                <c:v>YouTube 2024 10-Jun</c:v>
              </c:pt>
              <c:pt idx="152">
                <c:v>YouTube 2024 17-Jun</c:v>
              </c:pt>
              <c:pt idx="153">
                <c:v>YouTube 2024 24-Jun</c:v>
              </c:pt>
              <c:pt idx="154">
                <c:v>YouTube 2024 01-Jul</c:v>
              </c:pt>
              <c:pt idx="155">
                <c:v>YouTube 2024 08-Jul</c:v>
              </c:pt>
              <c:pt idx="156">
                <c:v>YouTube 2024 15-Jul</c:v>
              </c:pt>
              <c:pt idx="157">
                <c:v>YouTube 2024 22-Jul</c:v>
              </c:pt>
              <c:pt idx="158">
                <c:v>YouTube 2024 29-Jul</c:v>
              </c:pt>
              <c:pt idx="159">
                <c:v>YouTube 2024 05-Aug</c:v>
              </c:pt>
              <c:pt idx="160">
                <c:v>YouTube 2024 12-Aug</c:v>
              </c:pt>
              <c:pt idx="161">
                <c:v>YouTube 2024 19-Aug</c:v>
              </c:pt>
              <c:pt idx="162">
                <c:v>YouTube 2024 26-Aug</c:v>
              </c:pt>
              <c:pt idx="163">
                <c:v>YouTube 2024 02-Sep</c:v>
              </c:pt>
              <c:pt idx="164">
                <c:v>YouTube 2024 09-Sep</c:v>
              </c:pt>
              <c:pt idx="165">
                <c:v>YouTube 2024 16-Sep</c:v>
              </c:pt>
              <c:pt idx="166">
                <c:v>YouTube 2024 23-Sep</c:v>
              </c:pt>
              <c:pt idx="167">
                <c:v>YouTube 2024 30-Sep</c:v>
              </c:pt>
              <c:pt idx="168">
                <c:v>YouTube 2024 07-Oct</c:v>
              </c:pt>
              <c:pt idx="169">
                <c:v>YouTube 2024 14-Oct</c:v>
              </c:pt>
              <c:pt idx="170">
                <c:v>YouTube 2024 21-Oct</c:v>
              </c:pt>
              <c:pt idx="171">
                <c:v>YouTube 2024 28-Oct</c:v>
              </c:pt>
              <c:pt idx="172">
                <c:v>YouTube 2024 04-Nov</c:v>
              </c:pt>
              <c:pt idx="173">
                <c:v>YouTube 2024 11-Nov</c:v>
              </c:pt>
              <c:pt idx="174">
                <c:v>YouTube 2024 18-Nov</c:v>
              </c:pt>
              <c:pt idx="175">
                <c:v>YouTube 2024 25-Nov</c:v>
              </c:pt>
              <c:pt idx="176">
                <c:v>YouTube 2024 02-Dec</c:v>
              </c:pt>
              <c:pt idx="177">
                <c:v>YouTube 2024 09-Dec</c:v>
              </c:pt>
              <c:pt idx="178">
                <c:v>YouTube 2024 16-Dec</c:v>
              </c:pt>
              <c:pt idx="179">
                <c:v>YouTube 2024 23-Dec</c:v>
              </c:pt>
              <c:pt idx="180">
                <c:v>YouTube 2024 30-Dec</c:v>
              </c:pt>
              <c:pt idx="181">
                <c:v>YouTube 2025 06-Jan</c:v>
              </c:pt>
              <c:pt idx="182">
                <c:v>YouTube 2025 13-Jan</c:v>
              </c:pt>
              <c:pt idx="183">
                <c:v>YouTube 2025 20-Jan</c:v>
              </c:pt>
              <c:pt idx="184">
                <c:v>YouTube 2025 27-Jan</c:v>
              </c:pt>
              <c:pt idx="185">
                <c:v>YouTube 2025 03-Feb</c:v>
              </c:pt>
              <c:pt idx="186">
                <c:v>YouTube 2025 10-Feb</c:v>
              </c:pt>
              <c:pt idx="187">
                <c:v>YouTube 2025 17-Feb</c:v>
              </c:pt>
              <c:pt idx="188">
                <c:v>YouTube 2025 24-Feb</c:v>
              </c:pt>
              <c:pt idx="189">
                <c:v>YouTube 2025 03-Mar</c:v>
              </c:pt>
              <c:pt idx="190">
                <c:v>YouTube 2025 10-Mar</c:v>
              </c:pt>
              <c:pt idx="191">
                <c:v>YouTube 2025 17-Mar</c:v>
              </c:pt>
              <c:pt idx="192">
                <c:v>YouTube 2025 24-Mar</c:v>
              </c:pt>
              <c:pt idx="193">
                <c:v>YouTube 2025 31-Mar</c:v>
              </c:pt>
              <c:pt idx="194">
                <c:v>YouTube 2025 07-Apr</c:v>
              </c:pt>
              <c:pt idx="195">
                <c:v>YouTube 2025 14-Apr</c:v>
              </c:pt>
              <c:pt idx="196">
                <c:v>YouTube 2025 21-Apr</c:v>
              </c:pt>
              <c:pt idx="197">
                <c:v>YouTube 2025 28-Apr</c:v>
              </c:pt>
              <c:pt idx="198">
                <c:v>YouTube 2025 05-May</c:v>
              </c:pt>
              <c:pt idx="199">
                <c:v>YouTube 2025 12-May</c:v>
              </c:pt>
            </c:strLit>
          </c:cat>
          <c:val>
            <c:numLit>
              <c:formatCode>General</c:formatCode>
              <c:ptCount val="200"/>
              <c:pt idx="0">
                <c:v>1047</c:v>
              </c:pt>
              <c:pt idx="1">
                <c:v>517</c:v>
              </c:pt>
              <c:pt idx="2">
                <c:v>893</c:v>
              </c:pt>
              <c:pt idx="3">
                <c:v>629</c:v>
              </c:pt>
              <c:pt idx="4">
                <c:v>-219</c:v>
              </c:pt>
              <c:pt idx="5">
                <c:v>1672</c:v>
              </c:pt>
              <c:pt idx="6">
                <c:v>1845</c:v>
              </c:pt>
              <c:pt idx="7">
                <c:v>159</c:v>
              </c:pt>
              <c:pt idx="8">
                <c:v>541</c:v>
              </c:pt>
              <c:pt idx="9">
                <c:v>352</c:v>
              </c:pt>
              <c:pt idx="10">
                <c:v>1325</c:v>
              </c:pt>
              <c:pt idx="11">
                <c:v>76</c:v>
              </c:pt>
              <c:pt idx="12">
                <c:v>1609</c:v>
              </c:pt>
              <c:pt idx="13">
                <c:v>1247</c:v>
              </c:pt>
              <c:pt idx="14">
                <c:v>1572</c:v>
              </c:pt>
              <c:pt idx="15">
                <c:v>377</c:v>
              </c:pt>
              <c:pt idx="16">
                <c:v>666</c:v>
              </c:pt>
              <c:pt idx="17">
                <c:v>1025</c:v>
              </c:pt>
              <c:pt idx="18">
                <c:v>1872</c:v>
              </c:pt>
              <c:pt idx="19">
                <c:v>1224</c:v>
              </c:pt>
              <c:pt idx="20">
                <c:v>262</c:v>
              </c:pt>
              <c:pt idx="21">
                <c:v>576</c:v>
              </c:pt>
              <c:pt idx="22">
                <c:v>1397</c:v>
              </c:pt>
              <c:pt idx="23">
                <c:v>902</c:v>
              </c:pt>
              <c:pt idx="24">
                <c:v>-49</c:v>
              </c:pt>
              <c:pt idx="25">
                <c:v>1693</c:v>
              </c:pt>
              <c:pt idx="26">
                <c:v>1625</c:v>
              </c:pt>
              <c:pt idx="27">
                <c:v>1119</c:v>
              </c:pt>
              <c:pt idx="28">
                <c:v>1432</c:v>
              </c:pt>
              <c:pt idx="29">
                <c:v>684</c:v>
              </c:pt>
              <c:pt idx="30">
                <c:v>1765</c:v>
              </c:pt>
              <c:pt idx="31">
                <c:v>903</c:v>
              </c:pt>
              <c:pt idx="32">
                <c:v>1722</c:v>
              </c:pt>
              <c:pt idx="33">
                <c:v>1572</c:v>
              </c:pt>
              <c:pt idx="34">
                <c:v>-166</c:v>
              </c:pt>
              <c:pt idx="35">
                <c:v>1080</c:v>
              </c:pt>
              <c:pt idx="36">
                <c:v>1723</c:v>
              </c:pt>
              <c:pt idx="37">
                <c:v>965</c:v>
              </c:pt>
              <c:pt idx="38">
                <c:v>1375</c:v>
              </c:pt>
              <c:pt idx="39">
                <c:v>1315</c:v>
              </c:pt>
              <c:pt idx="40">
                <c:v>212</c:v>
              </c:pt>
              <c:pt idx="41">
                <c:v>680</c:v>
              </c:pt>
              <c:pt idx="42">
                <c:v>461</c:v>
              </c:pt>
              <c:pt idx="43">
                <c:v>641</c:v>
              </c:pt>
              <c:pt idx="44">
                <c:v>167</c:v>
              </c:pt>
              <c:pt idx="45">
                <c:v>-160</c:v>
              </c:pt>
              <c:pt idx="46">
                <c:v>603</c:v>
              </c:pt>
              <c:pt idx="47">
                <c:v>1539</c:v>
              </c:pt>
              <c:pt idx="48">
                <c:v>1881</c:v>
              </c:pt>
              <c:pt idx="49">
                <c:v>1656</c:v>
              </c:pt>
              <c:pt idx="50">
                <c:v>415</c:v>
              </c:pt>
              <c:pt idx="51">
                <c:v>186</c:v>
              </c:pt>
              <c:pt idx="52">
                <c:v>1295</c:v>
              </c:pt>
              <c:pt idx="53">
                <c:v>835</c:v>
              </c:pt>
              <c:pt idx="54">
                <c:v>1357</c:v>
              </c:pt>
              <c:pt idx="55">
                <c:v>547</c:v>
              </c:pt>
              <c:pt idx="56">
                <c:v>429</c:v>
              </c:pt>
              <c:pt idx="57">
                <c:v>1316</c:v>
              </c:pt>
              <c:pt idx="58">
                <c:v>1495</c:v>
              </c:pt>
              <c:pt idx="59">
                <c:v>328</c:v>
              </c:pt>
              <c:pt idx="60">
                <c:v>37</c:v>
              </c:pt>
              <c:pt idx="61">
                <c:v>1665</c:v>
              </c:pt>
              <c:pt idx="62">
                <c:v>1229</c:v>
              </c:pt>
              <c:pt idx="63">
                <c:v>197</c:v>
              </c:pt>
              <c:pt idx="64">
                <c:v>260</c:v>
              </c:pt>
              <c:pt idx="65">
                <c:v>1125</c:v>
              </c:pt>
              <c:pt idx="66">
                <c:v>1680</c:v>
              </c:pt>
              <c:pt idx="67">
                <c:v>599</c:v>
              </c:pt>
              <c:pt idx="68">
                <c:v>107</c:v>
              </c:pt>
              <c:pt idx="69">
                <c:v>-20</c:v>
              </c:pt>
              <c:pt idx="70">
                <c:v>636</c:v>
              </c:pt>
              <c:pt idx="71">
                <c:v>37</c:v>
              </c:pt>
              <c:pt idx="72">
                <c:v>1603</c:v>
              </c:pt>
              <c:pt idx="73">
                <c:v>1150</c:v>
              </c:pt>
              <c:pt idx="74">
                <c:v>445</c:v>
              </c:pt>
              <c:pt idx="75">
                <c:v>98</c:v>
              </c:pt>
              <c:pt idx="76">
                <c:v>1173</c:v>
              </c:pt>
              <c:pt idx="77">
                <c:v>1727</c:v>
              </c:pt>
              <c:pt idx="78">
                <c:v>1359</c:v>
              </c:pt>
              <c:pt idx="79">
                <c:v>911</c:v>
              </c:pt>
              <c:pt idx="80">
                <c:v>1529</c:v>
              </c:pt>
              <c:pt idx="81">
                <c:v>1188</c:v>
              </c:pt>
              <c:pt idx="82">
                <c:v>-144</c:v>
              </c:pt>
              <c:pt idx="83">
                <c:v>891</c:v>
              </c:pt>
              <c:pt idx="84">
                <c:v>1426</c:v>
              </c:pt>
              <c:pt idx="85">
                <c:v>569</c:v>
              </c:pt>
              <c:pt idx="86">
                <c:v>1202</c:v>
              </c:pt>
              <c:pt idx="87">
                <c:v>-37</c:v>
              </c:pt>
              <c:pt idx="88">
                <c:v>708</c:v>
              </c:pt>
              <c:pt idx="89">
                <c:v>899</c:v>
              </c:pt>
              <c:pt idx="90">
                <c:v>1350</c:v>
              </c:pt>
              <c:pt idx="91">
                <c:v>861</c:v>
              </c:pt>
              <c:pt idx="92">
                <c:v>292</c:v>
              </c:pt>
              <c:pt idx="93">
                <c:v>1676</c:v>
              </c:pt>
              <c:pt idx="94">
                <c:v>1007</c:v>
              </c:pt>
              <c:pt idx="95">
                <c:v>53</c:v>
              </c:pt>
              <c:pt idx="96">
                <c:v>759</c:v>
              </c:pt>
              <c:pt idx="97">
                <c:v>948</c:v>
              </c:pt>
              <c:pt idx="98">
                <c:v>1510</c:v>
              </c:pt>
              <c:pt idx="99">
                <c:v>269</c:v>
              </c:pt>
              <c:pt idx="100">
                <c:v>1002</c:v>
              </c:pt>
              <c:pt idx="101">
                <c:v>1283</c:v>
              </c:pt>
              <c:pt idx="102">
                <c:v>1382</c:v>
              </c:pt>
              <c:pt idx="103">
                <c:v>1670</c:v>
              </c:pt>
              <c:pt idx="104">
                <c:v>64</c:v>
              </c:pt>
              <c:pt idx="105">
                <c:v>309</c:v>
              </c:pt>
              <c:pt idx="106">
                <c:v>-164</c:v>
              </c:pt>
              <c:pt idx="107">
                <c:v>961</c:v>
              </c:pt>
              <c:pt idx="108">
                <c:v>-318</c:v>
              </c:pt>
              <c:pt idx="109">
                <c:v>-197</c:v>
              </c:pt>
              <c:pt idx="110">
                <c:v>1334</c:v>
              </c:pt>
              <c:pt idx="111">
                <c:v>1058</c:v>
              </c:pt>
              <c:pt idx="112">
                <c:v>37</c:v>
              </c:pt>
              <c:pt idx="113">
                <c:v>1045</c:v>
              </c:pt>
              <c:pt idx="114">
                <c:v>1428</c:v>
              </c:pt>
              <c:pt idx="115">
                <c:v>98</c:v>
              </c:pt>
              <c:pt idx="116">
                <c:v>-19</c:v>
              </c:pt>
              <c:pt idx="117">
                <c:v>-179</c:v>
              </c:pt>
              <c:pt idx="118">
                <c:v>1662</c:v>
              </c:pt>
              <c:pt idx="119">
                <c:v>285</c:v>
              </c:pt>
              <c:pt idx="120">
                <c:v>439</c:v>
              </c:pt>
              <c:pt idx="121">
                <c:v>386</c:v>
              </c:pt>
              <c:pt idx="122">
                <c:v>540</c:v>
              </c:pt>
              <c:pt idx="123">
                <c:v>-106</c:v>
              </c:pt>
              <c:pt idx="124">
                <c:v>72</c:v>
              </c:pt>
              <c:pt idx="125">
                <c:v>1332</c:v>
              </c:pt>
              <c:pt idx="126">
                <c:v>1706</c:v>
              </c:pt>
              <c:pt idx="127">
                <c:v>1373</c:v>
              </c:pt>
              <c:pt idx="128">
                <c:v>1377</c:v>
              </c:pt>
              <c:pt idx="129">
                <c:v>730</c:v>
              </c:pt>
              <c:pt idx="130">
                <c:v>1776</c:v>
              </c:pt>
              <c:pt idx="131">
                <c:v>620</c:v>
              </c:pt>
              <c:pt idx="132">
                <c:v>298</c:v>
              </c:pt>
              <c:pt idx="133">
                <c:v>427</c:v>
              </c:pt>
              <c:pt idx="134">
                <c:v>898</c:v>
              </c:pt>
              <c:pt idx="135">
                <c:v>748</c:v>
              </c:pt>
              <c:pt idx="136">
                <c:v>912</c:v>
              </c:pt>
              <c:pt idx="137">
                <c:v>1590</c:v>
              </c:pt>
              <c:pt idx="138">
                <c:v>1707</c:v>
              </c:pt>
              <c:pt idx="139">
                <c:v>-119</c:v>
              </c:pt>
              <c:pt idx="140">
                <c:v>908</c:v>
              </c:pt>
              <c:pt idx="141">
                <c:v>1116</c:v>
              </c:pt>
              <c:pt idx="142">
                <c:v>474</c:v>
              </c:pt>
              <c:pt idx="143">
                <c:v>514</c:v>
              </c:pt>
              <c:pt idx="144">
                <c:v>1029</c:v>
              </c:pt>
              <c:pt idx="145">
                <c:v>-175</c:v>
              </c:pt>
              <c:pt idx="146">
                <c:v>1045</c:v>
              </c:pt>
              <c:pt idx="147">
                <c:v>453</c:v>
              </c:pt>
              <c:pt idx="148">
                <c:v>339</c:v>
              </c:pt>
              <c:pt idx="149">
                <c:v>407</c:v>
              </c:pt>
              <c:pt idx="150">
                <c:v>1090</c:v>
              </c:pt>
              <c:pt idx="151">
                <c:v>994</c:v>
              </c:pt>
              <c:pt idx="152">
                <c:v>337</c:v>
              </c:pt>
              <c:pt idx="153">
                <c:v>-123</c:v>
              </c:pt>
              <c:pt idx="154">
                <c:v>91</c:v>
              </c:pt>
              <c:pt idx="155">
                <c:v>514</c:v>
              </c:pt>
              <c:pt idx="156">
                <c:v>160</c:v>
              </c:pt>
              <c:pt idx="157">
                <c:v>317</c:v>
              </c:pt>
              <c:pt idx="158">
                <c:v>475</c:v>
              </c:pt>
              <c:pt idx="159">
                <c:v>319</c:v>
              </c:pt>
              <c:pt idx="160">
                <c:v>1032</c:v>
              </c:pt>
              <c:pt idx="161">
                <c:v>190</c:v>
              </c:pt>
              <c:pt idx="162">
                <c:v>28</c:v>
              </c:pt>
              <c:pt idx="163">
                <c:v>333</c:v>
              </c:pt>
              <c:pt idx="164">
                <c:v>1100</c:v>
              </c:pt>
              <c:pt idx="165">
                <c:v>-32</c:v>
              </c:pt>
              <c:pt idx="166">
                <c:v>1006</c:v>
              </c:pt>
              <c:pt idx="167">
                <c:v>1706</c:v>
              </c:pt>
              <c:pt idx="168">
                <c:v>118</c:v>
              </c:pt>
              <c:pt idx="169">
                <c:v>367</c:v>
              </c:pt>
              <c:pt idx="170">
                <c:v>1484</c:v>
              </c:pt>
              <c:pt idx="171">
                <c:v>1657</c:v>
              </c:pt>
              <c:pt idx="172">
                <c:v>1044</c:v>
              </c:pt>
              <c:pt idx="173">
                <c:v>349</c:v>
              </c:pt>
              <c:pt idx="174">
                <c:v>60</c:v>
              </c:pt>
              <c:pt idx="175">
                <c:v>885</c:v>
              </c:pt>
              <c:pt idx="176">
                <c:v>291</c:v>
              </c:pt>
              <c:pt idx="177">
                <c:v>573</c:v>
              </c:pt>
              <c:pt idx="178">
                <c:v>876</c:v>
              </c:pt>
              <c:pt idx="179">
                <c:v>1589</c:v>
              </c:pt>
              <c:pt idx="180">
                <c:v>1460</c:v>
              </c:pt>
              <c:pt idx="181">
                <c:v>846</c:v>
              </c:pt>
              <c:pt idx="182">
                <c:v>901</c:v>
              </c:pt>
              <c:pt idx="183">
                <c:v>724</c:v>
              </c:pt>
              <c:pt idx="184">
                <c:v>1225</c:v>
              </c:pt>
              <c:pt idx="185">
                <c:v>-203</c:v>
              </c:pt>
              <c:pt idx="186">
                <c:v>1444</c:v>
              </c:pt>
              <c:pt idx="187">
                <c:v>1175</c:v>
              </c:pt>
              <c:pt idx="188">
                <c:v>1016</c:v>
              </c:pt>
              <c:pt idx="189">
                <c:v>315</c:v>
              </c:pt>
              <c:pt idx="190">
                <c:v>1242</c:v>
              </c:pt>
              <c:pt idx="191">
                <c:v>1385</c:v>
              </c:pt>
              <c:pt idx="192">
                <c:v>389</c:v>
              </c:pt>
              <c:pt idx="193">
                <c:v>1467</c:v>
              </c:pt>
              <c:pt idx="194">
                <c:v>209</c:v>
              </c:pt>
              <c:pt idx="195">
                <c:v>145</c:v>
              </c:pt>
              <c:pt idx="196">
                <c:v>1633</c:v>
              </c:pt>
              <c:pt idx="197">
                <c:v>637</c:v>
              </c:pt>
              <c:pt idx="198">
                <c:v>864</c:v>
              </c:pt>
              <c:pt idx="199">
                <c:v>-337</c:v>
              </c:pt>
            </c:numLit>
          </c:val>
          <c:smooth val="0"/>
          <c:extLst>
            <c:ext xmlns:c16="http://schemas.microsoft.com/office/drawing/2014/chart" uri="{C3380CC4-5D6E-409C-BE32-E72D297353CC}">
              <c16:uniqueId val="{00000001-4B41-466A-A2C6-6AC510E56742}"/>
            </c:ext>
          </c:extLst>
        </c:ser>
        <c:dLbls>
          <c:showLegendKey val="0"/>
          <c:showVal val="0"/>
          <c:showCatName val="0"/>
          <c:showSerName val="0"/>
          <c:showPercent val="0"/>
          <c:showBubbleSize val="0"/>
        </c:dLbls>
        <c:marker val="1"/>
        <c:smooth val="0"/>
        <c:axId val="1362989808"/>
        <c:axId val="1362990768"/>
      </c:lineChart>
      <c:catAx>
        <c:axId val="1362989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2990768"/>
        <c:crosses val="autoZero"/>
        <c:auto val="1"/>
        <c:lblAlgn val="ctr"/>
        <c:lblOffset val="100"/>
        <c:noMultiLvlLbl val="0"/>
      </c:catAx>
      <c:valAx>
        <c:axId val="13629907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298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latin typeface="Algerian" panose="04020705040A02060702" pitchFamily="82" charset="0"/>
              </a:rPr>
              <a:t>Follower</a:t>
            </a:r>
            <a:r>
              <a:rPr lang="en-US" sz="1800" baseline="0">
                <a:latin typeface="Algerian" panose="04020705040A02060702" pitchFamily="82" charset="0"/>
              </a:rPr>
              <a:t> Growth On Various Platforms Per week</a:t>
            </a:r>
            <a:endParaRPr lang="en-US" sz="1800">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200"/>
              <c:pt idx="0">
                <c:v>Facebook 2024 Jun 2024-06-03</c:v>
              </c:pt>
              <c:pt idx="1">
                <c:v>Facebook 2024 Jun 2024-06-10</c:v>
              </c:pt>
              <c:pt idx="2">
                <c:v>Facebook 2024 Jun 2024-06-17</c:v>
              </c:pt>
              <c:pt idx="3">
                <c:v>Facebook 2024 Jun 2024-06-24</c:v>
              </c:pt>
              <c:pt idx="4">
                <c:v>Facebook 2024 Jul 2024-07-01</c:v>
              </c:pt>
              <c:pt idx="5">
                <c:v>Facebook 2024 Jul 2024-07-08</c:v>
              </c:pt>
              <c:pt idx="6">
                <c:v>Facebook 2024 Jul 2024-07-15</c:v>
              </c:pt>
              <c:pt idx="7">
                <c:v>Facebook 2024 Jul 2024-07-22</c:v>
              </c:pt>
              <c:pt idx="8">
                <c:v>Facebook 2024 Jul 2024-07-29</c:v>
              </c:pt>
              <c:pt idx="9">
                <c:v>Facebook 2024 Aug 2024-08-05</c:v>
              </c:pt>
              <c:pt idx="10">
                <c:v>Facebook 2024 Aug 2024-08-12</c:v>
              </c:pt>
              <c:pt idx="11">
                <c:v>Facebook 2024 Aug 2024-08-19</c:v>
              </c:pt>
              <c:pt idx="12">
                <c:v>Facebook 2024 Aug 2024-08-26</c:v>
              </c:pt>
              <c:pt idx="13">
                <c:v>Facebook 2024 Sep 2024-09-02</c:v>
              </c:pt>
              <c:pt idx="14">
                <c:v>Facebook 2024 Sep 2024-09-09</c:v>
              </c:pt>
              <c:pt idx="15">
                <c:v>Facebook 2024 Sep 2024-09-16</c:v>
              </c:pt>
              <c:pt idx="16">
                <c:v>Facebook 2024 Sep 2024-09-23</c:v>
              </c:pt>
              <c:pt idx="17">
                <c:v>Facebook 2024 Sep 2024-09-30</c:v>
              </c:pt>
              <c:pt idx="18">
                <c:v>Facebook 2024 Oct 2024-10-07</c:v>
              </c:pt>
              <c:pt idx="19">
                <c:v>Facebook 2024 Oct 2024-10-14</c:v>
              </c:pt>
              <c:pt idx="20">
                <c:v>Facebook 2024 Oct 2024-10-21</c:v>
              </c:pt>
              <c:pt idx="21">
                <c:v>Facebook 2024 Oct 2024-10-28</c:v>
              </c:pt>
              <c:pt idx="22">
                <c:v>Facebook 2024 Nov 2024-11-04</c:v>
              </c:pt>
              <c:pt idx="23">
                <c:v>Facebook 2024 Nov 2024-11-11</c:v>
              </c:pt>
              <c:pt idx="24">
                <c:v>Facebook 2024 Nov 2024-11-18</c:v>
              </c:pt>
              <c:pt idx="25">
                <c:v>Facebook 2024 Nov 2024-11-25</c:v>
              </c:pt>
              <c:pt idx="26">
                <c:v>Facebook 2024 Dec 2024-12-02</c:v>
              </c:pt>
              <c:pt idx="27">
                <c:v>Facebook 2024 Dec 2024-12-09</c:v>
              </c:pt>
              <c:pt idx="28">
                <c:v>Facebook 2024 Dec 2024-12-16</c:v>
              </c:pt>
              <c:pt idx="29">
                <c:v>Facebook 2024 Dec 2024-12-23</c:v>
              </c:pt>
              <c:pt idx="30">
                <c:v>Facebook 2024 Dec 2024-12-30</c:v>
              </c:pt>
              <c:pt idx="31">
                <c:v>Facebook 2025 Jan 2025-01-06</c:v>
              </c:pt>
              <c:pt idx="32">
                <c:v>Facebook 2025 Jan 2025-01-13</c:v>
              </c:pt>
              <c:pt idx="33">
                <c:v>Facebook 2025 Jan 2025-01-20</c:v>
              </c:pt>
              <c:pt idx="34">
                <c:v>Facebook 2025 Jan 2025-01-27</c:v>
              </c:pt>
              <c:pt idx="35">
                <c:v>Facebook 2025 Feb 2025-02-03</c:v>
              </c:pt>
              <c:pt idx="36">
                <c:v>Facebook 2025 Feb 2025-02-10</c:v>
              </c:pt>
              <c:pt idx="37">
                <c:v>Facebook 2025 Feb 2025-02-17</c:v>
              </c:pt>
              <c:pt idx="38">
                <c:v>Facebook 2025 Feb 2025-02-24</c:v>
              </c:pt>
              <c:pt idx="39">
                <c:v>Facebook 2025 Mar 2025-03-03</c:v>
              </c:pt>
              <c:pt idx="40">
                <c:v>Facebook 2025 Mar 2025-03-10</c:v>
              </c:pt>
              <c:pt idx="41">
                <c:v>Facebook 2025 Mar 2025-03-17</c:v>
              </c:pt>
              <c:pt idx="42">
                <c:v>Facebook 2025 Mar 2025-03-24</c:v>
              </c:pt>
              <c:pt idx="43">
                <c:v>Facebook 2025 Mar 2025-03-31</c:v>
              </c:pt>
              <c:pt idx="44">
                <c:v>Facebook 2025 Apr 2025-04-07</c:v>
              </c:pt>
              <c:pt idx="45">
                <c:v>Facebook 2025 Apr 2025-04-14</c:v>
              </c:pt>
              <c:pt idx="46">
                <c:v>Facebook 2025 Apr 2025-04-21</c:v>
              </c:pt>
              <c:pt idx="47">
                <c:v>Facebook 2025 Apr 2025-04-28</c:v>
              </c:pt>
              <c:pt idx="48">
                <c:v>Facebook 2025 May 2025-05-05</c:v>
              </c:pt>
              <c:pt idx="49">
                <c:v>Facebook 2025 May 2025-05-12</c:v>
              </c:pt>
              <c:pt idx="50">
                <c:v>Instagram 2024 Jun 2024-06-03</c:v>
              </c:pt>
              <c:pt idx="51">
                <c:v>Instagram 2024 Jun 2024-06-10</c:v>
              </c:pt>
              <c:pt idx="52">
                <c:v>Instagram 2024 Jun 2024-06-17</c:v>
              </c:pt>
              <c:pt idx="53">
                <c:v>Instagram 2024 Jun 2024-06-24</c:v>
              </c:pt>
              <c:pt idx="54">
                <c:v>Instagram 2024 Jul 2024-07-01</c:v>
              </c:pt>
              <c:pt idx="55">
                <c:v>Instagram 2024 Jul 2024-07-08</c:v>
              </c:pt>
              <c:pt idx="56">
                <c:v>Instagram 2024 Jul 2024-07-15</c:v>
              </c:pt>
              <c:pt idx="57">
                <c:v>Instagram 2024 Jul 2024-07-22</c:v>
              </c:pt>
              <c:pt idx="58">
                <c:v>Instagram 2024 Jul 2024-07-29</c:v>
              </c:pt>
              <c:pt idx="59">
                <c:v>Instagram 2024 Aug 2024-08-05</c:v>
              </c:pt>
              <c:pt idx="60">
                <c:v>Instagram 2024 Aug 2024-08-12</c:v>
              </c:pt>
              <c:pt idx="61">
                <c:v>Instagram 2024 Aug 2024-08-19</c:v>
              </c:pt>
              <c:pt idx="62">
                <c:v>Instagram 2024 Aug 2024-08-26</c:v>
              </c:pt>
              <c:pt idx="63">
                <c:v>Instagram 2024 Sep 2024-09-02</c:v>
              </c:pt>
              <c:pt idx="64">
                <c:v>Instagram 2024 Sep 2024-09-09</c:v>
              </c:pt>
              <c:pt idx="65">
                <c:v>Instagram 2024 Sep 2024-09-16</c:v>
              </c:pt>
              <c:pt idx="66">
                <c:v>Instagram 2024 Sep 2024-09-23</c:v>
              </c:pt>
              <c:pt idx="67">
                <c:v>Instagram 2024 Sep 2024-09-30</c:v>
              </c:pt>
              <c:pt idx="68">
                <c:v>Instagram 2024 Oct 2024-10-07</c:v>
              </c:pt>
              <c:pt idx="69">
                <c:v>Instagram 2024 Oct 2024-10-14</c:v>
              </c:pt>
              <c:pt idx="70">
                <c:v>Instagram 2024 Oct 2024-10-21</c:v>
              </c:pt>
              <c:pt idx="71">
                <c:v>Instagram 2024 Oct 2024-10-28</c:v>
              </c:pt>
              <c:pt idx="72">
                <c:v>Instagram 2024 Nov 2024-11-04</c:v>
              </c:pt>
              <c:pt idx="73">
                <c:v>Instagram 2024 Nov 2024-11-11</c:v>
              </c:pt>
              <c:pt idx="74">
                <c:v>Instagram 2024 Nov 2024-11-18</c:v>
              </c:pt>
              <c:pt idx="75">
                <c:v>Instagram 2024 Nov 2024-11-25</c:v>
              </c:pt>
              <c:pt idx="76">
                <c:v>Instagram 2024 Dec 2024-12-02</c:v>
              </c:pt>
              <c:pt idx="77">
                <c:v>Instagram 2024 Dec 2024-12-09</c:v>
              </c:pt>
              <c:pt idx="78">
                <c:v>Instagram 2024 Dec 2024-12-16</c:v>
              </c:pt>
              <c:pt idx="79">
                <c:v>Instagram 2024 Dec 2024-12-23</c:v>
              </c:pt>
              <c:pt idx="80">
                <c:v>Instagram 2024 Dec 2024-12-30</c:v>
              </c:pt>
              <c:pt idx="81">
                <c:v>Instagram 2025 Jan 2025-01-06</c:v>
              </c:pt>
              <c:pt idx="82">
                <c:v>Instagram 2025 Jan 2025-01-13</c:v>
              </c:pt>
              <c:pt idx="83">
                <c:v>Instagram 2025 Jan 2025-01-20</c:v>
              </c:pt>
              <c:pt idx="84">
                <c:v>Instagram 2025 Jan 2025-01-27</c:v>
              </c:pt>
              <c:pt idx="85">
                <c:v>Instagram 2025 Feb 2025-02-03</c:v>
              </c:pt>
              <c:pt idx="86">
                <c:v>Instagram 2025 Feb 2025-02-10</c:v>
              </c:pt>
              <c:pt idx="87">
                <c:v>Instagram 2025 Feb 2025-02-17</c:v>
              </c:pt>
              <c:pt idx="88">
                <c:v>Instagram 2025 Feb 2025-02-24</c:v>
              </c:pt>
              <c:pt idx="89">
                <c:v>Instagram 2025 Mar 2025-03-03</c:v>
              </c:pt>
              <c:pt idx="90">
                <c:v>Instagram 2025 Mar 2025-03-10</c:v>
              </c:pt>
              <c:pt idx="91">
                <c:v>Instagram 2025 Mar 2025-03-17</c:v>
              </c:pt>
              <c:pt idx="92">
                <c:v>Instagram 2025 Mar 2025-03-24</c:v>
              </c:pt>
              <c:pt idx="93">
                <c:v>Instagram 2025 Mar 2025-03-31</c:v>
              </c:pt>
              <c:pt idx="94">
                <c:v>Instagram 2025 Apr 2025-04-07</c:v>
              </c:pt>
              <c:pt idx="95">
                <c:v>Instagram 2025 Apr 2025-04-14</c:v>
              </c:pt>
              <c:pt idx="96">
                <c:v>Instagram 2025 Apr 2025-04-21</c:v>
              </c:pt>
              <c:pt idx="97">
                <c:v>Instagram 2025 Apr 2025-04-28</c:v>
              </c:pt>
              <c:pt idx="98">
                <c:v>Instagram 2025 May 2025-05-05</c:v>
              </c:pt>
              <c:pt idx="99">
                <c:v>Instagram 2025 May 2025-05-12</c:v>
              </c:pt>
              <c:pt idx="100">
                <c:v>Twitter 2024 Jun 2024-06-03</c:v>
              </c:pt>
              <c:pt idx="101">
                <c:v>Twitter 2024 Jun 2024-06-10</c:v>
              </c:pt>
              <c:pt idx="102">
                <c:v>Twitter 2024 Jun 2024-06-17</c:v>
              </c:pt>
              <c:pt idx="103">
                <c:v>Twitter 2024 Jun 2024-06-24</c:v>
              </c:pt>
              <c:pt idx="104">
                <c:v>Twitter 2024 Jul 2024-07-01</c:v>
              </c:pt>
              <c:pt idx="105">
                <c:v>Twitter 2024 Jul 2024-07-08</c:v>
              </c:pt>
              <c:pt idx="106">
                <c:v>Twitter 2024 Jul 2024-07-15</c:v>
              </c:pt>
              <c:pt idx="107">
                <c:v>Twitter 2024 Jul 2024-07-22</c:v>
              </c:pt>
              <c:pt idx="108">
                <c:v>Twitter 2024 Jul 2024-07-29</c:v>
              </c:pt>
              <c:pt idx="109">
                <c:v>Twitter 2024 Aug 2024-08-05</c:v>
              </c:pt>
              <c:pt idx="110">
                <c:v>Twitter 2024 Aug 2024-08-12</c:v>
              </c:pt>
              <c:pt idx="111">
                <c:v>Twitter 2024 Aug 2024-08-19</c:v>
              </c:pt>
              <c:pt idx="112">
                <c:v>Twitter 2024 Aug 2024-08-26</c:v>
              </c:pt>
              <c:pt idx="113">
                <c:v>Twitter 2024 Sep 2024-09-02</c:v>
              </c:pt>
              <c:pt idx="114">
                <c:v>Twitter 2024 Sep 2024-09-09</c:v>
              </c:pt>
              <c:pt idx="115">
                <c:v>Twitter 2024 Sep 2024-09-16</c:v>
              </c:pt>
              <c:pt idx="116">
                <c:v>Twitter 2024 Sep 2024-09-23</c:v>
              </c:pt>
              <c:pt idx="117">
                <c:v>Twitter 2024 Sep 2024-09-30</c:v>
              </c:pt>
              <c:pt idx="118">
                <c:v>Twitter 2024 Oct 2024-10-07</c:v>
              </c:pt>
              <c:pt idx="119">
                <c:v>Twitter 2024 Oct 2024-10-14</c:v>
              </c:pt>
              <c:pt idx="120">
                <c:v>Twitter 2024 Oct 2024-10-21</c:v>
              </c:pt>
              <c:pt idx="121">
                <c:v>Twitter 2024 Oct 2024-10-28</c:v>
              </c:pt>
              <c:pt idx="122">
                <c:v>Twitter 2024 Nov 2024-11-04</c:v>
              </c:pt>
              <c:pt idx="123">
                <c:v>Twitter 2024 Nov 2024-11-11</c:v>
              </c:pt>
              <c:pt idx="124">
                <c:v>Twitter 2024 Nov 2024-11-18</c:v>
              </c:pt>
              <c:pt idx="125">
                <c:v>Twitter 2024 Nov 2024-11-25</c:v>
              </c:pt>
              <c:pt idx="126">
                <c:v>Twitter 2024 Dec 2024-12-02</c:v>
              </c:pt>
              <c:pt idx="127">
                <c:v>Twitter 2024 Dec 2024-12-09</c:v>
              </c:pt>
              <c:pt idx="128">
                <c:v>Twitter 2024 Dec 2024-12-16</c:v>
              </c:pt>
              <c:pt idx="129">
                <c:v>Twitter 2024 Dec 2024-12-23</c:v>
              </c:pt>
              <c:pt idx="130">
                <c:v>Twitter 2024 Dec 2024-12-30</c:v>
              </c:pt>
              <c:pt idx="131">
                <c:v>Twitter 2025 Jan 2025-01-06</c:v>
              </c:pt>
              <c:pt idx="132">
                <c:v>Twitter 2025 Jan 2025-01-13</c:v>
              </c:pt>
              <c:pt idx="133">
                <c:v>Twitter 2025 Jan 2025-01-20</c:v>
              </c:pt>
              <c:pt idx="134">
                <c:v>Twitter 2025 Jan 2025-01-27</c:v>
              </c:pt>
              <c:pt idx="135">
                <c:v>Twitter 2025 Feb 2025-02-03</c:v>
              </c:pt>
              <c:pt idx="136">
                <c:v>Twitter 2025 Feb 2025-02-10</c:v>
              </c:pt>
              <c:pt idx="137">
                <c:v>Twitter 2025 Feb 2025-02-17</c:v>
              </c:pt>
              <c:pt idx="138">
                <c:v>Twitter 2025 Feb 2025-02-24</c:v>
              </c:pt>
              <c:pt idx="139">
                <c:v>Twitter 2025 Mar 2025-03-03</c:v>
              </c:pt>
              <c:pt idx="140">
                <c:v>Twitter 2025 Mar 2025-03-10</c:v>
              </c:pt>
              <c:pt idx="141">
                <c:v>Twitter 2025 Mar 2025-03-17</c:v>
              </c:pt>
              <c:pt idx="142">
                <c:v>Twitter 2025 Mar 2025-03-24</c:v>
              </c:pt>
              <c:pt idx="143">
                <c:v>Twitter 2025 Mar 2025-03-31</c:v>
              </c:pt>
              <c:pt idx="144">
                <c:v>Twitter 2025 Apr 2025-04-07</c:v>
              </c:pt>
              <c:pt idx="145">
                <c:v>Twitter 2025 Apr 2025-04-14</c:v>
              </c:pt>
              <c:pt idx="146">
                <c:v>Twitter 2025 Apr 2025-04-21</c:v>
              </c:pt>
              <c:pt idx="147">
                <c:v>Twitter 2025 Apr 2025-04-28</c:v>
              </c:pt>
              <c:pt idx="148">
                <c:v>Twitter 2025 May 2025-05-05</c:v>
              </c:pt>
              <c:pt idx="149">
                <c:v>Twitter 2025 May 2025-05-12</c:v>
              </c:pt>
              <c:pt idx="150">
                <c:v>YouTube 2024 Jun 2024-06-03</c:v>
              </c:pt>
              <c:pt idx="151">
                <c:v>YouTube 2024 Jun 2024-06-10</c:v>
              </c:pt>
              <c:pt idx="152">
                <c:v>YouTube 2024 Jun 2024-06-17</c:v>
              </c:pt>
              <c:pt idx="153">
                <c:v>YouTube 2024 Jun 2024-06-24</c:v>
              </c:pt>
              <c:pt idx="154">
                <c:v>YouTube 2024 Jul 2024-07-01</c:v>
              </c:pt>
              <c:pt idx="155">
                <c:v>YouTube 2024 Jul 2024-07-08</c:v>
              </c:pt>
              <c:pt idx="156">
                <c:v>YouTube 2024 Jul 2024-07-15</c:v>
              </c:pt>
              <c:pt idx="157">
                <c:v>YouTube 2024 Jul 2024-07-22</c:v>
              </c:pt>
              <c:pt idx="158">
                <c:v>YouTube 2024 Jul 2024-07-29</c:v>
              </c:pt>
              <c:pt idx="159">
                <c:v>YouTube 2024 Aug 2024-08-05</c:v>
              </c:pt>
              <c:pt idx="160">
                <c:v>YouTube 2024 Aug 2024-08-12</c:v>
              </c:pt>
              <c:pt idx="161">
                <c:v>YouTube 2024 Aug 2024-08-19</c:v>
              </c:pt>
              <c:pt idx="162">
                <c:v>YouTube 2024 Aug 2024-08-26</c:v>
              </c:pt>
              <c:pt idx="163">
                <c:v>YouTube 2024 Sep 2024-09-02</c:v>
              </c:pt>
              <c:pt idx="164">
                <c:v>YouTube 2024 Sep 2024-09-09</c:v>
              </c:pt>
              <c:pt idx="165">
                <c:v>YouTube 2024 Sep 2024-09-16</c:v>
              </c:pt>
              <c:pt idx="166">
                <c:v>YouTube 2024 Sep 2024-09-23</c:v>
              </c:pt>
              <c:pt idx="167">
                <c:v>YouTube 2024 Sep 2024-09-30</c:v>
              </c:pt>
              <c:pt idx="168">
                <c:v>YouTube 2024 Oct 2024-10-07</c:v>
              </c:pt>
              <c:pt idx="169">
                <c:v>YouTube 2024 Oct 2024-10-14</c:v>
              </c:pt>
              <c:pt idx="170">
                <c:v>YouTube 2024 Oct 2024-10-21</c:v>
              </c:pt>
              <c:pt idx="171">
                <c:v>YouTube 2024 Oct 2024-10-28</c:v>
              </c:pt>
              <c:pt idx="172">
                <c:v>YouTube 2024 Nov 2024-11-04</c:v>
              </c:pt>
              <c:pt idx="173">
                <c:v>YouTube 2024 Nov 2024-11-11</c:v>
              </c:pt>
              <c:pt idx="174">
                <c:v>YouTube 2024 Nov 2024-11-18</c:v>
              </c:pt>
              <c:pt idx="175">
                <c:v>YouTube 2024 Nov 2024-11-25</c:v>
              </c:pt>
              <c:pt idx="176">
                <c:v>YouTube 2024 Dec 2024-12-02</c:v>
              </c:pt>
              <c:pt idx="177">
                <c:v>YouTube 2024 Dec 2024-12-09</c:v>
              </c:pt>
              <c:pt idx="178">
                <c:v>YouTube 2024 Dec 2024-12-16</c:v>
              </c:pt>
              <c:pt idx="179">
                <c:v>YouTube 2024 Dec 2024-12-23</c:v>
              </c:pt>
              <c:pt idx="180">
                <c:v>YouTube 2024 Dec 2024-12-30</c:v>
              </c:pt>
              <c:pt idx="181">
                <c:v>YouTube 2025 Jan 2025-01-06</c:v>
              </c:pt>
              <c:pt idx="182">
                <c:v>YouTube 2025 Jan 2025-01-13</c:v>
              </c:pt>
              <c:pt idx="183">
                <c:v>YouTube 2025 Jan 2025-01-20</c:v>
              </c:pt>
              <c:pt idx="184">
                <c:v>YouTube 2025 Jan 2025-01-27</c:v>
              </c:pt>
              <c:pt idx="185">
                <c:v>YouTube 2025 Feb 2025-02-03</c:v>
              </c:pt>
              <c:pt idx="186">
                <c:v>YouTube 2025 Feb 2025-02-10</c:v>
              </c:pt>
              <c:pt idx="187">
                <c:v>YouTube 2025 Feb 2025-02-17</c:v>
              </c:pt>
              <c:pt idx="188">
                <c:v>YouTube 2025 Feb 2025-02-24</c:v>
              </c:pt>
              <c:pt idx="189">
                <c:v>YouTube 2025 Mar 2025-03-03</c:v>
              </c:pt>
              <c:pt idx="190">
                <c:v>YouTube 2025 Mar 2025-03-10</c:v>
              </c:pt>
              <c:pt idx="191">
                <c:v>YouTube 2025 Mar 2025-03-17</c:v>
              </c:pt>
              <c:pt idx="192">
                <c:v>YouTube 2025 Mar 2025-03-24</c:v>
              </c:pt>
              <c:pt idx="193">
                <c:v>YouTube 2025 Mar 2025-03-31</c:v>
              </c:pt>
              <c:pt idx="194">
                <c:v>YouTube 2025 Apr 2025-04-07</c:v>
              </c:pt>
              <c:pt idx="195">
                <c:v>YouTube 2025 Apr 2025-04-14</c:v>
              </c:pt>
              <c:pt idx="196">
                <c:v>YouTube 2025 Apr 2025-04-21</c:v>
              </c:pt>
              <c:pt idx="197">
                <c:v>YouTube 2025 Apr 2025-04-28</c:v>
              </c:pt>
              <c:pt idx="198">
                <c:v>YouTube 2025 May 2025-05-05</c:v>
              </c:pt>
              <c:pt idx="199">
                <c:v>YouTube 2025 May 2025-05-12</c:v>
              </c:pt>
            </c:strLit>
          </c:cat>
          <c:val>
            <c:numLit>
              <c:formatCode>General</c:formatCode>
              <c:ptCount val="200"/>
              <c:pt idx="0">
                <c:v>1002</c:v>
              </c:pt>
              <c:pt idx="1">
                <c:v>1283</c:v>
              </c:pt>
              <c:pt idx="2">
                <c:v>1382</c:v>
              </c:pt>
              <c:pt idx="3">
                <c:v>1670</c:v>
              </c:pt>
              <c:pt idx="4">
                <c:v>64</c:v>
              </c:pt>
              <c:pt idx="5">
                <c:v>309</c:v>
              </c:pt>
              <c:pt idx="6">
                <c:v>-164</c:v>
              </c:pt>
              <c:pt idx="7">
                <c:v>961</c:v>
              </c:pt>
              <c:pt idx="8">
                <c:v>-318</c:v>
              </c:pt>
              <c:pt idx="9">
                <c:v>-197</c:v>
              </c:pt>
              <c:pt idx="10">
                <c:v>1334</c:v>
              </c:pt>
              <c:pt idx="11">
                <c:v>1058</c:v>
              </c:pt>
              <c:pt idx="12">
                <c:v>37</c:v>
              </c:pt>
              <c:pt idx="13">
                <c:v>1045</c:v>
              </c:pt>
              <c:pt idx="14">
                <c:v>1428</c:v>
              </c:pt>
              <c:pt idx="15">
                <c:v>98</c:v>
              </c:pt>
              <c:pt idx="16">
                <c:v>-19</c:v>
              </c:pt>
              <c:pt idx="17">
                <c:v>-179</c:v>
              </c:pt>
              <c:pt idx="18">
                <c:v>1662</c:v>
              </c:pt>
              <c:pt idx="19">
                <c:v>285</c:v>
              </c:pt>
              <c:pt idx="20">
                <c:v>439</c:v>
              </c:pt>
              <c:pt idx="21">
                <c:v>386</c:v>
              </c:pt>
              <c:pt idx="22">
                <c:v>540</c:v>
              </c:pt>
              <c:pt idx="23">
                <c:v>-106</c:v>
              </c:pt>
              <c:pt idx="24">
                <c:v>72</c:v>
              </c:pt>
              <c:pt idx="25">
                <c:v>1332</c:v>
              </c:pt>
              <c:pt idx="26">
                <c:v>1706</c:v>
              </c:pt>
              <c:pt idx="27">
                <c:v>1373</c:v>
              </c:pt>
              <c:pt idx="28">
                <c:v>1377</c:v>
              </c:pt>
              <c:pt idx="29">
                <c:v>730</c:v>
              </c:pt>
              <c:pt idx="30">
                <c:v>1776</c:v>
              </c:pt>
              <c:pt idx="31">
                <c:v>620</c:v>
              </c:pt>
              <c:pt idx="32">
                <c:v>298</c:v>
              </c:pt>
              <c:pt idx="33">
                <c:v>427</c:v>
              </c:pt>
              <c:pt idx="34">
                <c:v>898</c:v>
              </c:pt>
              <c:pt idx="35">
                <c:v>748</c:v>
              </c:pt>
              <c:pt idx="36">
                <c:v>912</c:v>
              </c:pt>
              <c:pt idx="37">
                <c:v>1590</c:v>
              </c:pt>
              <c:pt idx="38">
                <c:v>1707</c:v>
              </c:pt>
              <c:pt idx="39">
                <c:v>-119</c:v>
              </c:pt>
              <c:pt idx="40">
                <c:v>908</c:v>
              </c:pt>
              <c:pt idx="41">
                <c:v>1116</c:v>
              </c:pt>
              <c:pt idx="42">
                <c:v>474</c:v>
              </c:pt>
              <c:pt idx="43">
                <c:v>514</c:v>
              </c:pt>
              <c:pt idx="44">
                <c:v>1029</c:v>
              </c:pt>
              <c:pt idx="45">
                <c:v>-175</c:v>
              </c:pt>
              <c:pt idx="46">
                <c:v>1045</c:v>
              </c:pt>
              <c:pt idx="47">
                <c:v>453</c:v>
              </c:pt>
              <c:pt idx="48">
                <c:v>339</c:v>
              </c:pt>
              <c:pt idx="49">
                <c:v>407</c:v>
              </c:pt>
              <c:pt idx="50">
                <c:v>1047</c:v>
              </c:pt>
              <c:pt idx="51">
                <c:v>517</c:v>
              </c:pt>
              <c:pt idx="52">
                <c:v>893</c:v>
              </c:pt>
              <c:pt idx="53">
                <c:v>629</c:v>
              </c:pt>
              <c:pt idx="54">
                <c:v>-219</c:v>
              </c:pt>
              <c:pt idx="55">
                <c:v>1672</c:v>
              </c:pt>
              <c:pt idx="56">
                <c:v>1845</c:v>
              </c:pt>
              <c:pt idx="57">
                <c:v>159</c:v>
              </c:pt>
              <c:pt idx="58">
                <c:v>541</c:v>
              </c:pt>
              <c:pt idx="59">
                <c:v>352</c:v>
              </c:pt>
              <c:pt idx="60">
                <c:v>1325</c:v>
              </c:pt>
              <c:pt idx="61">
                <c:v>76</c:v>
              </c:pt>
              <c:pt idx="62">
                <c:v>1609</c:v>
              </c:pt>
              <c:pt idx="63">
                <c:v>1247</c:v>
              </c:pt>
              <c:pt idx="64">
                <c:v>1572</c:v>
              </c:pt>
              <c:pt idx="65">
                <c:v>377</c:v>
              </c:pt>
              <c:pt idx="66">
                <c:v>666</c:v>
              </c:pt>
              <c:pt idx="67">
                <c:v>1025</c:v>
              </c:pt>
              <c:pt idx="68">
                <c:v>1872</c:v>
              </c:pt>
              <c:pt idx="69">
                <c:v>1224</c:v>
              </c:pt>
              <c:pt idx="70">
                <c:v>262</c:v>
              </c:pt>
              <c:pt idx="71">
                <c:v>576</c:v>
              </c:pt>
              <c:pt idx="72">
                <c:v>1397</c:v>
              </c:pt>
              <c:pt idx="73">
                <c:v>902</c:v>
              </c:pt>
              <c:pt idx="74">
                <c:v>-49</c:v>
              </c:pt>
              <c:pt idx="75">
                <c:v>1693</c:v>
              </c:pt>
              <c:pt idx="76">
                <c:v>1625</c:v>
              </c:pt>
              <c:pt idx="77">
                <c:v>1119</c:v>
              </c:pt>
              <c:pt idx="78">
                <c:v>1432</c:v>
              </c:pt>
              <c:pt idx="79">
                <c:v>684</c:v>
              </c:pt>
              <c:pt idx="80">
                <c:v>1765</c:v>
              </c:pt>
              <c:pt idx="81">
                <c:v>903</c:v>
              </c:pt>
              <c:pt idx="82">
                <c:v>1722</c:v>
              </c:pt>
              <c:pt idx="83">
                <c:v>1572</c:v>
              </c:pt>
              <c:pt idx="84">
                <c:v>-166</c:v>
              </c:pt>
              <c:pt idx="85">
                <c:v>1080</c:v>
              </c:pt>
              <c:pt idx="86">
                <c:v>1723</c:v>
              </c:pt>
              <c:pt idx="87">
                <c:v>965</c:v>
              </c:pt>
              <c:pt idx="88">
                <c:v>1375</c:v>
              </c:pt>
              <c:pt idx="89">
                <c:v>1315</c:v>
              </c:pt>
              <c:pt idx="90">
                <c:v>212</c:v>
              </c:pt>
              <c:pt idx="91">
                <c:v>680</c:v>
              </c:pt>
              <c:pt idx="92">
                <c:v>461</c:v>
              </c:pt>
              <c:pt idx="93">
                <c:v>641</c:v>
              </c:pt>
              <c:pt idx="94">
                <c:v>167</c:v>
              </c:pt>
              <c:pt idx="95">
                <c:v>-160</c:v>
              </c:pt>
              <c:pt idx="96">
                <c:v>603</c:v>
              </c:pt>
              <c:pt idx="97">
                <c:v>1539</c:v>
              </c:pt>
              <c:pt idx="98">
                <c:v>1881</c:v>
              </c:pt>
              <c:pt idx="99">
                <c:v>1656</c:v>
              </c:pt>
              <c:pt idx="100">
                <c:v>415</c:v>
              </c:pt>
              <c:pt idx="101">
                <c:v>186</c:v>
              </c:pt>
              <c:pt idx="102">
                <c:v>1295</c:v>
              </c:pt>
              <c:pt idx="103">
                <c:v>835</c:v>
              </c:pt>
              <c:pt idx="104">
                <c:v>1357</c:v>
              </c:pt>
              <c:pt idx="105">
                <c:v>547</c:v>
              </c:pt>
              <c:pt idx="106">
                <c:v>429</c:v>
              </c:pt>
              <c:pt idx="107">
                <c:v>1316</c:v>
              </c:pt>
              <c:pt idx="108">
                <c:v>1495</c:v>
              </c:pt>
              <c:pt idx="109">
                <c:v>328</c:v>
              </c:pt>
              <c:pt idx="110">
                <c:v>37</c:v>
              </c:pt>
              <c:pt idx="111">
                <c:v>1665</c:v>
              </c:pt>
              <c:pt idx="112">
                <c:v>1229</c:v>
              </c:pt>
              <c:pt idx="113">
                <c:v>197</c:v>
              </c:pt>
              <c:pt idx="114">
                <c:v>260</c:v>
              </c:pt>
              <c:pt idx="115">
                <c:v>1125</c:v>
              </c:pt>
              <c:pt idx="116">
                <c:v>1680</c:v>
              </c:pt>
              <c:pt idx="117">
                <c:v>599</c:v>
              </c:pt>
              <c:pt idx="118">
                <c:v>107</c:v>
              </c:pt>
              <c:pt idx="119">
                <c:v>-20</c:v>
              </c:pt>
              <c:pt idx="120">
                <c:v>636</c:v>
              </c:pt>
              <c:pt idx="121">
                <c:v>37</c:v>
              </c:pt>
              <c:pt idx="122">
                <c:v>1603</c:v>
              </c:pt>
              <c:pt idx="123">
                <c:v>1150</c:v>
              </c:pt>
              <c:pt idx="124">
                <c:v>445</c:v>
              </c:pt>
              <c:pt idx="125">
                <c:v>98</c:v>
              </c:pt>
              <c:pt idx="126">
                <c:v>1173</c:v>
              </c:pt>
              <c:pt idx="127">
                <c:v>1727</c:v>
              </c:pt>
              <c:pt idx="128">
                <c:v>1359</c:v>
              </c:pt>
              <c:pt idx="129">
                <c:v>911</c:v>
              </c:pt>
              <c:pt idx="130">
                <c:v>1529</c:v>
              </c:pt>
              <c:pt idx="131">
                <c:v>1188</c:v>
              </c:pt>
              <c:pt idx="132">
                <c:v>-144</c:v>
              </c:pt>
              <c:pt idx="133">
                <c:v>891</c:v>
              </c:pt>
              <c:pt idx="134">
                <c:v>1426</c:v>
              </c:pt>
              <c:pt idx="135">
                <c:v>569</c:v>
              </c:pt>
              <c:pt idx="136">
                <c:v>1202</c:v>
              </c:pt>
              <c:pt idx="137">
                <c:v>-37</c:v>
              </c:pt>
              <c:pt idx="138">
                <c:v>708</c:v>
              </c:pt>
              <c:pt idx="139">
                <c:v>899</c:v>
              </c:pt>
              <c:pt idx="140">
                <c:v>1350</c:v>
              </c:pt>
              <c:pt idx="141">
                <c:v>861</c:v>
              </c:pt>
              <c:pt idx="142">
                <c:v>292</c:v>
              </c:pt>
              <c:pt idx="143">
                <c:v>1676</c:v>
              </c:pt>
              <c:pt idx="144">
                <c:v>1007</c:v>
              </c:pt>
              <c:pt idx="145">
                <c:v>53</c:v>
              </c:pt>
              <c:pt idx="146">
                <c:v>759</c:v>
              </c:pt>
              <c:pt idx="147">
                <c:v>948</c:v>
              </c:pt>
              <c:pt idx="148">
                <c:v>1510</c:v>
              </c:pt>
              <c:pt idx="149">
                <c:v>269</c:v>
              </c:pt>
              <c:pt idx="150">
                <c:v>1090</c:v>
              </c:pt>
              <c:pt idx="151">
                <c:v>994</c:v>
              </c:pt>
              <c:pt idx="152">
                <c:v>337</c:v>
              </c:pt>
              <c:pt idx="153">
                <c:v>-123</c:v>
              </c:pt>
              <c:pt idx="154">
                <c:v>91</c:v>
              </c:pt>
              <c:pt idx="155">
                <c:v>514</c:v>
              </c:pt>
              <c:pt idx="156">
                <c:v>160</c:v>
              </c:pt>
              <c:pt idx="157">
                <c:v>317</c:v>
              </c:pt>
              <c:pt idx="158">
                <c:v>475</c:v>
              </c:pt>
              <c:pt idx="159">
                <c:v>319</c:v>
              </c:pt>
              <c:pt idx="160">
                <c:v>1032</c:v>
              </c:pt>
              <c:pt idx="161">
                <c:v>190</c:v>
              </c:pt>
              <c:pt idx="162">
                <c:v>28</c:v>
              </c:pt>
              <c:pt idx="163">
                <c:v>333</c:v>
              </c:pt>
              <c:pt idx="164">
                <c:v>1100</c:v>
              </c:pt>
              <c:pt idx="165">
                <c:v>-32</c:v>
              </c:pt>
              <c:pt idx="166">
                <c:v>1006</c:v>
              </c:pt>
              <c:pt idx="167">
                <c:v>1706</c:v>
              </c:pt>
              <c:pt idx="168">
                <c:v>118</c:v>
              </c:pt>
              <c:pt idx="169">
                <c:v>367</c:v>
              </c:pt>
              <c:pt idx="170">
                <c:v>1484</c:v>
              </c:pt>
              <c:pt idx="171">
                <c:v>1657</c:v>
              </c:pt>
              <c:pt idx="172">
                <c:v>1044</c:v>
              </c:pt>
              <c:pt idx="173">
                <c:v>349</c:v>
              </c:pt>
              <c:pt idx="174">
                <c:v>60</c:v>
              </c:pt>
              <c:pt idx="175">
                <c:v>885</c:v>
              </c:pt>
              <c:pt idx="176">
                <c:v>291</c:v>
              </c:pt>
              <c:pt idx="177">
                <c:v>573</c:v>
              </c:pt>
              <c:pt idx="178">
                <c:v>876</c:v>
              </c:pt>
              <c:pt idx="179">
                <c:v>1589</c:v>
              </c:pt>
              <c:pt idx="180">
                <c:v>1460</c:v>
              </c:pt>
              <c:pt idx="181">
                <c:v>846</c:v>
              </c:pt>
              <c:pt idx="182">
                <c:v>901</c:v>
              </c:pt>
              <c:pt idx="183">
                <c:v>724</c:v>
              </c:pt>
              <c:pt idx="184">
                <c:v>1225</c:v>
              </c:pt>
              <c:pt idx="185">
                <c:v>-203</c:v>
              </c:pt>
              <c:pt idx="186">
                <c:v>1444</c:v>
              </c:pt>
              <c:pt idx="187">
                <c:v>1175</c:v>
              </c:pt>
              <c:pt idx="188">
                <c:v>1016</c:v>
              </c:pt>
              <c:pt idx="189">
                <c:v>315</c:v>
              </c:pt>
              <c:pt idx="190">
                <c:v>1242</c:v>
              </c:pt>
              <c:pt idx="191">
                <c:v>1385</c:v>
              </c:pt>
              <c:pt idx="192">
                <c:v>389</c:v>
              </c:pt>
              <c:pt idx="193">
                <c:v>1467</c:v>
              </c:pt>
              <c:pt idx="194">
                <c:v>209</c:v>
              </c:pt>
              <c:pt idx="195">
                <c:v>145</c:v>
              </c:pt>
              <c:pt idx="196">
                <c:v>1633</c:v>
              </c:pt>
              <c:pt idx="197">
                <c:v>637</c:v>
              </c:pt>
              <c:pt idx="198">
                <c:v>864</c:v>
              </c:pt>
              <c:pt idx="199">
                <c:v>-337</c:v>
              </c:pt>
            </c:numLit>
          </c:val>
          <c:smooth val="0"/>
          <c:extLst>
            <c:ext xmlns:c16="http://schemas.microsoft.com/office/drawing/2014/chart" uri="{C3380CC4-5D6E-409C-BE32-E72D297353CC}">
              <c16:uniqueId val="{00000000-AAF7-44AC-840D-A7DAE3DD9F3F}"/>
            </c:ext>
          </c:extLst>
        </c:ser>
        <c:dLbls>
          <c:showLegendKey val="0"/>
          <c:showVal val="0"/>
          <c:showCatName val="0"/>
          <c:showSerName val="0"/>
          <c:showPercent val="0"/>
          <c:showBubbleSize val="0"/>
        </c:dLbls>
        <c:marker val="1"/>
        <c:smooth val="0"/>
        <c:axId val="1113754880"/>
        <c:axId val="1113762080"/>
      </c:lineChart>
      <c:catAx>
        <c:axId val="1113754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3762080"/>
        <c:crosses val="autoZero"/>
        <c:auto val="1"/>
        <c:lblAlgn val="ctr"/>
        <c:lblOffset val="100"/>
        <c:noMultiLvlLbl val="0"/>
      </c:catAx>
      <c:valAx>
        <c:axId val="1113762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375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Total_Followers</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cat>
            <c:strLit>
              <c:ptCount val="48"/>
              <c:pt idx="0">
                <c:v>Facebook 2024 Jun</c:v>
              </c:pt>
              <c:pt idx="1">
                <c:v>Facebook 2024 Jul</c:v>
              </c:pt>
              <c:pt idx="2">
                <c:v>Facebook 2024 Aug</c:v>
              </c:pt>
              <c:pt idx="3">
                <c:v>Facebook 2024 Sep</c:v>
              </c:pt>
              <c:pt idx="4">
                <c:v>Facebook 2024 Oct</c:v>
              </c:pt>
              <c:pt idx="5">
                <c:v>Facebook 2024 Nov</c:v>
              </c:pt>
              <c:pt idx="6">
                <c:v>Facebook 2024 Dec</c:v>
              </c:pt>
              <c:pt idx="7">
                <c:v>Facebook 2025 Jan</c:v>
              </c:pt>
              <c:pt idx="8">
                <c:v>Facebook 2025 Feb</c:v>
              </c:pt>
              <c:pt idx="9">
                <c:v>Facebook 2025 Mar</c:v>
              </c:pt>
              <c:pt idx="10">
                <c:v>Facebook 2025 Apr</c:v>
              </c:pt>
              <c:pt idx="11">
                <c:v>Facebook 2025 May</c:v>
              </c:pt>
              <c:pt idx="12">
                <c:v>Instagram 2024 Jun</c:v>
              </c:pt>
              <c:pt idx="13">
                <c:v>Instagram 2024 Jul</c:v>
              </c:pt>
              <c:pt idx="14">
                <c:v>Instagram 2024 Aug</c:v>
              </c:pt>
              <c:pt idx="15">
                <c:v>Instagram 2024 Sep</c:v>
              </c:pt>
              <c:pt idx="16">
                <c:v>Instagram 2024 Oct</c:v>
              </c:pt>
              <c:pt idx="17">
                <c:v>Instagram 2024 Nov</c:v>
              </c:pt>
              <c:pt idx="18">
                <c:v>Instagram 2024 Dec</c:v>
              </c:pt>
              <c:pt idx="19">
                <c:v>Instagram 2025 Jan</c:v>
              </c:pt>
              <c:pt idx="20">
                <c:v>Instagram 2025 Feb</c:v>
              </c:pt>
              <c:pt idx="21">
                <c:v>Instagram 2025 Mar</c:v>
              </c:pt>
              <c:pt idx="22">
                <c:v>Instagram 2025 Apr</c:v>
              </c:pt>
              <c:pt idx="23">
                <c:v>Instagram 2025 May</c:v>
              </c:pt>
              <c:pt idx="24">
                <c:v>Twitter 2024 Jun</c:v>
              </c:pt>
              <c:pt idx="25">
                <c:v>Twitter 2024 Jul</c:v>
              </c:pt>
              <c:pt idx="26">
                <c:v>Twitter 2024 Aug</c:v>
              </c:pt>
              <c:pt idx="27">
                <c:v>Twitter 2024 Sep</c:v>
              </c:pt>
              <c:pt idx="28">
                <c:v>Twitter 2024 Oct</c:v>
              </c:pt>
              <c:pt idx="29">
                <c:v>Twitter 2024 Nov</c:v>
              </c:pt>
              <c:pt idx="30">
                <c:v>Twitter 2024 Dec</c:v>
              </c:pt>
              <c:pt idx="31">
                <c:v>Twitter 2025 Jan</c:v>
              </c:pt>
              <c:pt idx="32">
                <c:v>Twitter 2025 Feb</c:v>
              </c:pt>
              <c:pt idx="33">
                <c:v>Twitter 2025 Mar</c:v>
              </c:pt>
              <c:pt idx="34">
                <c:v>Twitter 2025 Apr</c:v>
              </c:pt>
              <c:pt idx="35">
                <c:v>Twitter 2025 May</c:v>
              </c:pt>
              <c:pt idx="36">
                <c:v>YouTube 2024 Jun</c:v>
              </c:pt>
              <c:pt idx="37">
                <c:v>YouTube 2024 Jul</c:v>
              </c:pt>
              <c:pt idx="38">
                <c:v>YouTube 2024 Aug</c:v>
              </c:pt>
              <c:pt idx="39">
                <c:v>YouTube 2024 Sep</c:v>
              </c:pt>
              <c:pt idx="40">
                <c:v>YouTube 2024 Oct</c:v>
              </c:pt>
              <c:pt idx="41">
                <c:v>YouTube 2024 Nov</c:v>
              </c:pt>
              <c:pt idx="42">
                <c:v>YouTube 2024 Dec</c:v>
              </c:pt>
              <c:pt idx="43">
                <c:v>YouTube 2025 Jan</c:v>
              </c:pt>
              <c:pt idx="44">
                <c:v>YouTube 2025 Feb</c:v>
              </c:pt>
              <c:pt idx="45">
                <c:v>YouTube 2025 Mar</c:v>
              </c:pt>
              <c:pt idx="46">
                <c:v>YouTube 2025 Apr</c:v>
              </c:pt>
              <c:pt idx="47">
                <c:v>YouTube 2025 May</c:v>
              </c:pt>
            </c:strLit>
          </c:cat>
          <c:val>
            <c:numLit>
              <c:formatCode>General</c:formatCode>
              <c:ptCount val="48"/>
              <c:pt idx="0">
                <c:v>555000</c:v>
              </c:pt>
              <c:pt idx="1">
                <c:v>1536406</c:v>
              </c:pt>
              <c:pt idx="2">
                <c:v>995950</c:v>
              </c:pt>
              <c:pt idx="3">
                <c:v>1971844</c:v>
              </c:pt>
              <c:pt idx="4">
                <c:v>770441</c:v>
              </c:pt>
              <c:pt idx="5">
                <c:v>1304177</c:v>
              </c:pt>
              <c:pt idx="6">
                <c:v>1394704</c:v>
              </c:pt>
              <c:pt idx="7">
                <c:v>1121224</c:v>
              </c:pt>
              <c:pt idx="8">
                <c:v>781316</c:v>
              </c:pt>
              <c:pt idx="9">
                <c:v>1793528</c:v>
              </c:pt>
              <c:pt idx="10">
                <c:v>771515</c:v>
              </c:pt>
              <c:pt idx="11">
                <c:v>783516</c:v>
              </c:pt>
              <c:pt idx="12">
                <c:v>885851</c:v>
              </c:pt>
              <c:pt idx="13">
                <c:v>1129315</c:v>
              </c:pt>
              <c:pt idx="14">
                <c:v>1706399</c:v>
              </c:pt>
              <c:pt idx="15">
                <c:v>1323073</c:v>
              </c:pt>
              <c:pt idx="16">
                <c:v>1279349</c:v>
              </c:pt>
              <c:pt idx="17">
                <c:v>439883</c:v>
              </c:pt>
              <c:pt idx="18">
                <c:v>1529725</c:v>
              </c:pt>
              <c:pt idx="19">
                <c:v>1556741</c:v>
              </c:pt>
              <c:pt idx="20">
                <c:v>1153449</c:v>
              </c:pt>
              <c:pt idx="21">
                <c:v>1777641</c:v>
              </c:pt>
              <c:pt idx="22">
                <c:v>654357</c:v>
              </c:pt>
              <c:pt idx="23">
                <c:v>916203</c:v>
              </c:pt>
              <c:pt idx="24">
                <c:v>822334</c:v>
              </c:pt>
              <c:pt idx="25">
                <c:v>1416969</c:v>
              </c:pt>
              <c:pt idx="26">
                <c:v>1259986</c:v>
              </c:pt>
              <c:pt idx="27">
                <c:v>1478603</c:v>
              </c:pt>
              <c:pt idx="28">
                <c:v>1285095</c:v>
              </c:pt>
              <c:pt idx="29">
                <c:v>1102363</c:v>
              </c:pt>
              <c:pt idx="30">
                <c:v>1013644</c:v>
              </c:pt>
              <c:pt idx="31">
                <c:v>1246025</c:v>
              </c:pt>
              <c:pt idx="32">
                <c:v>766751</c:v>
              </c:pt>
              <c:pt idx="33">
                <c:v>900933</c:v>
              </c:pt>
              <c:pt idx="34">
                <c:v>993236</c:v>
              </c:pt>
              <c:pt idx="35">
                <c:v>940662</c:v>
              </c:pt>
              <c:pt idx="36">
                <c:v>1618449</c:v>
              </c:pt>
              <c:pt idx="37">
                <c:v>873118</c:v>
              </c:pt>
              <c:pt idx="38">
                <c:v>749179</c:v>
              </c:pt>
              <c:pt idx="39">
                <c:v>713025</c:v>
              </c:pt>
              <c:pt idx="40">
                <c:v>879682</c:v>
              </c:pt>
              <c:pt idx="41">
                <c:v>744265</c:v>
              </c:pt>
              <c:pt idx="42">
                <c:v>1324091</c:v>
              </c:pt>
              <c:pt idx="43">
                <c:v>908465</c:v>
              </c:pt>
              <c:pt idx="44">
                <c:v>1326265</c:v>
              </c:pt>
              <c:pt idx="45">
                <c:v>1217968</c:v>
              </c:pt>
              <c:pt idx="46">
                <c:v>942272</c:v>
              </c:pt>
              <c:pt idx="47">
                <c:v>231035</c:v>
              </c:pt>
            </c:numLit>
          </c:val>
          <c:smooth val="0"/>
          <c:extLst>
            <c:ext xmlns:c16="http://schemas.microsoft.com/office/drawing/2014/chart" uri="{C3380CC4-5D6E-409C-BE32-E72D297353CC}">
              <c16:uniqueId val="{00000001-7FF9-4D38-828D-4154E194101A}"/>
            </c:ext>
          </c:extLst>
        </c:ser>
        <c:ser>
          <c:idx val="1"/>
          <c:order val="1"/>
          <c:tx>
            <c:v>Sum of Net Followers</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Lit>
              <c:ptCount val="48"/>
              <c:pt idx="0">
                <c:v>Facebook 2024 Jun</c:v>
              </c:pt>
              <c:pt idx="1">
                <c:v>Facebook 2024 Jul</c:v>
              </c:pt>
              <c:pt idx="2">
                <c:v>Facebook 2024 Aug</c:v>
              </c:pt>
              <c:pt idx="3">
                <c:v>Facebook 2024 Sep</c:v>
              </c:pt>
              <c:pt idx="4">
                <c:v>Facebook 2024 Oct</c:v>
              </c:pt>
              <c:pt idx="5">
                <c:v>Facebook 2024 Nov</c:v>
              </c:pt>
              <c:pt idx="6">
                <c:v>Facebook 2024 Dec</c:v>
              </c:pt>
              <c:pt idx="7">
                <c:v>Facebook 2025 Jan</c:v>
              </c:pt>
              <c:pt idx="8">
                <c:v>Facebook 2025 Feb</c:v>
              </c:pt>
              <c:pt idx="9">
                <c:v>Facebook 2025 Mar</c:v>
              </c:pt>
              <c:pt idx="10">
                <c:v>Facebook 2025 Apr</c:v>
              </c:pt>
              <c:pt idx="11">
                <c:v>Facebook 2025 May</c:v>
              </c:pt>
              <c:pt idx="12">
                <c:v>Instagram 2024 Jun</c:v>
              </c:pt>
              <c:pt idx="13">
                <c:v>Instagram 2024 Jul</c:v>
              </c:pt>
              <c:pt idx="14">
                <c:v>Instagram 2024 Aug</c:v>
              </c:pt>
              <c:pt idx="15">
                <c:v>Instagram 2024 Sep</c:v>
              </c:pt>
              <c:pt idx="16">
                <c:v>Instagram 2024 Oct</c:v>
              </c:pt>
              <c:pt idx="17">
                <c:v>Instagram 2024 Nov</c:v>
              </c:pt>
              <c:pt idx="18">
                <c:v>Instagram 2024 Dec</c:v>
              </c:pt>
              <c:pt idx="19">
                <c:v>Instagram 2025 Jan</c:v>
              </c:pt>
              <c:pt idx="20">
                <c:v>Instagram 2025 Feb</c:v>
              </c:pt>
              <c:pt idx="21">
                <c:v>Instagram 2025 Mar</c:v>
              </c:pt>
              <c:pt idx="22">
                <c:v>Instagram 2025 Apr</c:v>
              </c:pt>
              <c:pt idx="23">
                <c:v>Instagram 2025 May</c:v>
              </c:pt>
              <c:pt idx="24">
                <c:v>Twitter 2024 Jun</c:v>
              </c:pt>
              <c:pt idx="25">
                <c:v>Twitter 2024 Jul</c:v>
              </c:pt>
              <c:pt idx="26">
                <c:v>Twitter 2024 Aug</c:v>
              </c:pt>
              <c:pt idx="27">
                <c:v>Twitter 2024 Sep</c:v>
              </c:pt>
              <c:pt idx="28">
                <c:v>Twitter 2024 Oct</c:v>
              </c:pt>
              <c:pt idx="29">
                <c:v>Twitter 2024 Nov</c:v>
              </c:pt>
              <c:pt idx="30">
                <c:v>Twitter 2024 Dec</c:v>
              </c:pt>
              <c:pt idx="31">
                <c:v>Twitter 2025 Jan</c:v>
              </c:pt>
              <c:pt idx="32">
                <c:v>Twitter 2025 Feb</c:v>
              </c:pt>
              <c:pt idx="33">
                <c:v>Twitter 2025 Mar</c:v>
              </c:pt>
              <c:pt idx="34">
                <c:v>Twitter 2025 Apr</c:v>
              </c:pt>
              <c:pt idx="35">
                <c:v>Twitter 2025 May</c:v>
              </c:pt>
              <c:pt idx="36">
                <c:v>YouTube 2024 Jun</c:v>
              </c:pt>
              <c:pt idx="37">
                <c:v>YouTube 2024 Jul</c:v>
              </c:pt>
              <c:pt idx="38">
                <c:v>YouTube 2024 Aug</c:v>
              </c:pt>
              <c:pt idx="39">
                <c:v>YouTube 2024 Sep</c:v>
              </c:pt>
              <c:pt idx="40">
                <c:v>YouTube 2024 Oct</c:v>
              </c:pt>
              <c:pt idx="41">
                <c:v>YouTube 2024 Nov</c:v>
              </c:pt>
              <c:pt idx="42">
                <c:v>YouTube 2024 Dec</c:v>
              </c:pt>
              <c:pt idx="43">
                <c:v>YouTube 2025 Jan</c:v>
              </c:pt>
              <c:pt idx="44">
                <c:v>YouTube 2025 Feb</c:v>
              </c:pt>
              <c:pt idx="45">
                <c:v>YouTube 2025 Mar</c:v>
              </c:pt>
              <c:pt idx="46">
                <c:v>YouTube 2025 Apr</c:v>
              </c:pt>
              <c:pt idx="47">
                <c:v>YouTube 2025 May</c:v>
              </c:pt>
            </c:strLit>
          </c:cat>
          <c:val>
            <c:numLit>
              <c:formatCode>General</c:formatCode>
              <c:ptCount val="48"/>
              <c:pt idx="0">
                <c:v>5337</c:v>
              </c:pt>
              <c:pt idx="1">
                <c:v>852</c:v>
              </c:pt>
              <c:pt idx="2">
                <c:v>2232</c:v>
              </c:pt>
              <c:pt idx="3">
                <c:v>2373</c:v>
              </c:pt>
              <c:pt idx="4">
                <c:v>2772</c:v>
              </c:pt>
              <c:pt idx="5">
                <c:v>1838</c:v>
              </c:pt>
              <c:pt idx="6">
                <c:v>6962</c:v>
              </c:pt>
              <c:pt idx="7">
                <c:v>2243</c:v>
              </c:pt>
              <c:pt idx="8">
                <c:v>4957</c:v>
              </c:pt>
              <c:pt idx="9">
                <c:v>2893</c:v>
              </c:pt>
              <c:pt idx="10">
                <c:v>2352</c:v>
              </c:pt>
              <c:pt idx="11">
                <c:v>746</c:v>
              </c:pt>
              <c:pt idx="12">
                <c:v>3086</c:v>
              </c:pt>
              <c:pt idx="13">
                <c:v>3998</c:v>
              </c:pt>
              <c:pt idx="14">
                <c:v>3362</c:v>
              </c:pt>
              <c:pt idx="15">
                <c:v>4887</c:v>
              </c:pt>
              <c:pt idx="16">
                <c:v>3934</c:v>
              </c:pt>
              <c:pt idx="17">
                <c:v>3943</c:v>
              </c:pt>
              <c:pt idx="18">
                <c:v>6625</c:v>
              </c:pt>
              <c:pt idx="19">
                <c:v>4031</c:v>
              </c:pt>
              <c:pt idx="20">
                <c:v>5143</c:v>
              </c:pt>
              <c:pt idx="21">
                <c:v>3309</c:v>
              </c:pt>
              <c:pt idx="22">
                <c:v>2149</c:v>
              </c:pt>
              <c:pt idx="23">
                <c:v>3537</c:v>
              </c:pt>
              <c:pt idx="24">
                <c:v>2731</c:v>
              </c:pt>
              <c:pt idx="25">
                <c:v>5144</c:v>
              </c:pt>
              <c:pt idx="26">
                <c:v>3259</c:v>
              </c:pt>
              <c:pt idx="27">
                <c:v>3861</c:v>
              </c:pt>
              <c:pt idx="28">
                <c:v>760</c:v>
              </c:pt>
              <c:pt idx="29">
                <c:v>3296</c:v>
              </c:pt>
              <c:pt idx="30">
                <c:v>6699</c:v>
              </c:pt>
              <c:pt idx="31">
                <c:v>3361</c:v>
              </c:pt>
              <c:pt idx="32">
                <c:v>2442</c:v>
              </c:pt>
              <c:pt idx="33">
                <c:v>5078</c:v>
              </c:pt>
              <c:pt idx="34">
                <c:v>2767</c:v>
              </c:pt>
              <c:pt idx="35">
                <c:v>1779</c:v>
              </c:pt>
              <c:pt idx="36">
                <c:v>2298</c:v>
              </c:pt>
              <c:pt idx="37">
                <c:v>1557</c:v>
              </c:pt>
              <c:pt idx="38">
                <c:v>1569</c:v>
              </c:pt>
              <c:pt idx="39">
                <c:v>4113</c:v>
              </c:pt>
              <c:pt idx="40">
                <c:v>3626</c:v>
              </c:pt>
              <c:pt idx="41">
                <c:v>2338</c:v>
              </c:pt>
              <c:pt idx="42">
                <c:v>4789</c:v>
              </c:pt>
              <c:pt idx="43">
                <c:v>3696</c:v>
              </c:pt>
              <c:pt idx="44">
                <c:v>3432</c:v>
              </c:pt>
              <c:pt idx="45">
                <c:v>4798</c:v>
              </c:pt>
              <c:pt idx="46">
                <c:v>2624</c:v>
              </c:pt>
              <c:pt idx="47">
                <c:v>527</c:v>
              </c:pt>
            </c:numLit>
          </c:val>
          <c:smooth val="0"/>
          <c:extLst>
            <c:ext xmlns:c16="http://schemas.microsoft.com/office/drawing/2014/chart" uri="{C3380CC4-5D6E-409C-BE32-E72D297353CC}">
              <c16:uniqueId val="{00000002-7FF9-4D38-828D-4154E194101A}"/>
            </c:ext>
          </c:extLst>
        </c:ser>
        <c:ser>
          <c:idx val="2"/>
          <c:order val="2"/>
          <c:tx>
            <c:v>Sum of Average Total Followers</c:v>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trendline>
            <c:spPr>
              <a:ln w="25400" cap="rnd">
                <a:solidFill>
                  <a:schemeClr val="accent3">
                    <a:alpha val="50000"/>
                  </a:schemeClr>
                </a:solidFill>
              </a:ln>
              <a:effectLst/>
            </c:spPr>
            <c:trendlineType val="linear"/>
            <c:dispRSqr val="0"/>
            <c:dispEq val="0"/>
          </c:trendline>
          <c:cat>
            <c:strLit>
              <c:ptCount val="48"/>
              <c:pt idx="0">
                <c:v>Facebook 2024 Jun</c:v>
              </c:pt>
              <c:pt idx="1">
                <c:v>Facebook 2024 Jul</c:v>
              </c:pt>
              <c:pt idx="2">
                <c:v>Facebook 2024 Aug</c:v>
              </c:pt>
              <c:pt idx="3">
                <c:v>Facebook 2024 Sep</c:v>
              </c:pt>
              <c:pt idx="4">
                <c:v>Facebook 2024 Oct</c:v>
              </c:pt>
              <c:pt idx="5">
                <c:v>Facebook 2024 Nov</c:v>
              </c:pt>
              <c:pt idx="6">
                <c:v>Facebook 2024 Dec</c:v>
              </c:pt>
              <c:pt idx="7">
                <c:v>Facebook 2025 Jan</c:v>
              </c:pt>
              <c:pt idx="8">
                <c:v>Facebook 2025 Feb</c:v>
              </c:pt>
              <c:pt idx="9">
                <c:v>Facebook 2025 Mar</c:v>
              </c:pt>
              <c:pt idx="10">
                <c:v>Facebook 2025 Apr</c:v>
              </c:pt>
              <c:pt idx="11">
                <c:v>Facebook 2025 May</c:v>
              </c:pt>
              <c:pt idx="12">
                <c:v>Instagram 2024 Jun</c:v>
              </c:pt>
              <c:pt idx="13">
                <c:v>Instagram 2024 Jul</c:v>
              </c:pt>
              <c:pt idx="14">
                <c:v>Instagram 2024 Aug</c:v>
              </c:pt>
              <c:pt idx="15">
                <c:v>Instagram 2024 Sep</c:v>
              </c:pt>
              <c:pt idx="16">
                <c:v>Instagram 2024 Oct</c:v>
              </c:pt>
              <c:pt idx="17">
                <c:v>Instagram 2024 Nov</c:v>
              </c:pt>
              <c:pt idx="18">
                <c:v>Instagram 2024 Dec</c:v>
              </c:pt>
              <c:pt idx="19">
                <c:v>Instagram 2025 Jan</c:v>
              </c:pt>
              <c:pt idx="20">
                <c:v>Instagram 2025 Feb</c:v>
              </c:pt>
              <c:pt idx="21">
                <c:v>Instagram 2025 Mar</c:v>
              </c:pt>
              <c:pt idx="22">
                <c:v>Instagram 2025 Apr</c:v>
              </c:pt>
              <c:pt idx="23">
                <c:v>Instagram 2025 May</c:v>
              </c:pt>
              <c:pt idx="24">
                <c:v>Twitter 2024 Jun</c:v>
              </c:pt>
              <c:pt idx="25">
                <c:v>Twitter 2024 Jul</c:v>
              </c:pt>
              <c:pt idx="26">
                <c:v>Twitter 2024 Aug</c:v>
              </c:pt>
              <c:pt idx="27">
                <c:v>Twitter 2024 Sep</c:v>
              </c:pt>
              <c:pt idx="28">
                <c:v>Twitter 2024 Oct</c:v>
              </c:pt>
              <c:pt idx="29">
                <c:v>Twitter 2024 Nov</c:v>
              </c:pt>
              <c:pt idx="30">
                <c:v>Twitter 2024 Dec</c:v>
              </c:pt>
              <c:pt idx="31">
                <c:v>Twitter 2025 Jan</c:v>
              </c:pt>
              <c:pt idx="32">
                <c:v>Twitter 2025 Feb</c:v>
              </c:pt>
              <c:pt idx="33">
                <c:v>Twitter 2025 Mar</c:v>
              </c:pt>
              <c:pt idx="34">
                <c:v>Twitter 2025 Apr</c:v>
              </c:pt>
              <c:pt idx="35">
                <c:v>Twitter 2025 May</c:v>
              </c:pt>
              <c:pt idx="36">
                <c:v>YouTube 2024 Jun</c:v>
              </c:pt>
              <c:pt idx="37">
                <c:v>YouTube 2024 Jul</c:v>
              </c:pt>
              <c:pt idx="38">
                <c:v>YouTube 2024 Aug</c:v>
              </c:pt>
              <c:pt idx="39">
                <c:v>YouTube 2024 Sep</c:v>
              </c:pt>
              <c:pt idx="40">
                <c:v>YouTube 2024 Oct</c:v>
              </c:pt>
              <c:pt idx="41">
                <c:v>YouTube 2024 Nov</c:v>
              </c:pt>
              <c:pt idx="42">
                <c:v>YouTube 2024 Dec</c:v>
              </c:pt>
              <c:pt idx="43">
                <c:v>YouTube 2025 Jan</c:v>
              </c:pt>
              <c:pt idx="44">
                <c:v>YouTube 2025 Feb</c:v>
              </c:pt>
              <c:pt idx="45">
                <c:v>YouTube 2025 Mar</c:v>
              </c:pt>
              <c:pt idx="46">
                <c:v>YouTube 2025 Apr</c:v>
              </c:pt>
              <c:pt idx="47">
                <c:v>YouTube 2025 May</c:v>
              </c:pt>
            </c:strLit>
          </c:cat>
          <c:val>
            <c:numLit>
              <c:formatCode>General</c:formatCode>
              <c:ptCount val="48"/>
              <c:pt idx="0">
                <c:v>998594.33333333337</c:v>
              </c:pt>
              <c:pt idx="1">
                <c:v>1275497.6666666665</c:v>
              </c:pt>
              <c:pt idx="2">
                <c:v>1001705</c:v>
              </c:pt>
              <c:pt idx="3">
                <c:v>1387824</c:v>
              </c:pt>
              <c:pt idx="4">
                <c:v>978406.00000000012</c:v>
              </c:pt>
              <c:pt idx="5">
                <c:v>1050268.3333333333</c:v>
              </c:pt>
              <c:pt idx="6">
                <c:v>1244146.3333333333</c:v>
              </c:pt>
              <c:pt idx="7">
                <c:v>1091904.6666666667</c:v>
              </c:pt>
              <c:pt idx="8">
                <c:v>958110.66666666674</c:v>
              </c:pt>
              <c:pt idx="9">
                <c:v>1304143</c:v>
              </c:pt>
              <c:pt idx="10">
                <c:v>902341</c:v>
              </c:pt>
              <c:pt idx="11">
                <c:v>651737.66666666663</c:v>
              </c:pt>
              <c:pt idx="12">
                <c:v>754395</c:v>
              </c:pt>
              <c:pt idx="13">
                <c:v>1360896.6666666665</c:v>
              </c:pt>
              <c:pt idx="14">
                <c:v>1320778.3333333333</c:v>
              </c:pt>
              <c:pt idx="15">
                <c:v>1591173.3333333333</c:v>
              </c:pt>
              <c:pt idx="16">
                <c:v>1111628.3333333333</c:v>
              </c:pt>
              <c:pt idx="17">
                <c:v>948807.66666666663</c:v>
              </c:pt>
              <c:pt idx="18">
                <c:v>1312691</c:v>
              </c:pt>
              <c:pt idx="19">
                <c:v>1307996.6666666667</c:v>
              </c:pt>
              <c:pt idx="20">
                <c:v>900505.33333333326</c:v>
              </c:pt>
              <c:pt idx="21">
                <c:v>1490700.6666666665</c:v>
              </c:pt>
              <c:pt idx="22">
                <c:v>806369.33333333337</c:v>
              </c:pt>
              <c:pt idx="23">
                <c:v>880127</c:v>
              </c:pt>
              <c:pt idx="24">
                <c:v>1133999</c:v>
              </c:pt>
              <c:pt idx="25">
                <c:v>1145974.3333333333</c:v>
              </c:pt>
              <c:pt idx="26">
                <c:v>1126309.3333333333</c:v>
              </c:pt>
              <c:pt idx="27">
                <c:v>1200184</c:v>
              </c:pt>
              <c:pt idx="28">
                <c:v>1103959.3333333333</c:v>
              </c:pt>
              <c:pt idx="29">
                <c:v>884511.00000000012</c:v>
              </c:pt>
              <c:pt idx="30">
                <c:v>1303961.6666666665</c:v>
              </c:pt>
              <c:pt idx="31">
                <c:v>1198801.6666666667</c:v>
              </c:pt>
              <c:pt idx="32">
                <c:v>1050829.3333333335</c:v>
              </c:pt>
              <c:pt idx="33">
                <c:v>1239250.6666666667</c:v>
              </c:pt>
              <c:pt idx="34">
                <c:v>986326</c:v>
              </c:pt>
              <c:pt idx="35">
                <c:v>636475.33333333326</c:v>
              </c:pt>
              <c:pt idx="36">
                <c:v>1104009.6666666665</c:v>
              </c:pt>
              <c:pt idx="37">
                <c:v>1154124.6666666667</c:v>
              </c:pt>
              <c:pt idx="38">
                <c:v>1162280</c:v>
              </c:pt>
              <c:pt idx="39">
                <c:v>1325391.3333333333</c:v>
              </c:pt>
              <c:pt idx="40">
                <c:v>912349.00000000012</c:v>
              </c:pt>
              <c:pt idx="41">
                <c:v>1002143.3333333335</c:v>
              </c:pt>
              <c:pt idx="42">
                <c:v>1306134.6666666667</c:v>
              </c:pt>
              <c:pt idx="43">
                <c:v>1170621</c:v>
              </c:pt>
              <c:pt idx="44">
                <c:v>1132649</c:v>
              </c:pt>
              <c:pt idx="45">
                <c:v>1447354</c:v>
              </c:pt>
              <c:pt idx="46">
                <c:v>1019119</c:v>
              </c:pt>
              <c:pt idx="47">
                <c:v>409757.33333333331</c:v>
              </c:pt>
            </c:numLit>
          </c:val>
          <c:smooth val="0"/>
          <c:extLst>
            <c:ext xmlns:c16="http://schemas.microsoft.com/office/drawing/2014/chart" uri="{C3380CC4-5D6E-409C-BE32-E72D297353CC}">
              <c16:uniqueId val="{00000004-7FF9-4D38-828D-4154E194101A}"/>
            </c:ext>
          </c:extLst>
        </c:ser>
        <c:dLbls>
          <c:showLegendKey val="0"/>
          <c:showVal val="0"/>
          <c:showCatName val="0"/>
          <c:showSerName val="0"/>
          <c:showPercent val="0"/>
          <c:showBubbleSize val="0"/>
        </c:dLbls>
        <c:marker val="1"/>
        <c:smooth val="0"/>
        <c:axId val="634652544"/>
        <c:axId val="634656864"/>
      </c:lineChart>
      <c:catAx>
        <c:axId val="6346525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4656864"/>
        <c:crosses val="autoZero"/>
        <c:auto val="1"/>
        <c:lblAlgn val="ctr"/>
        <c:lblOffset val="100"/>
        <c:noMultiLvlLbl val="0"/>
      </c:catAx>
      <c:valAx>
        <c:axId val="6346568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465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Net followers on adspend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'[1]adspend vsnet follwers chart'!$C$1</c:f>
              <c:strCache>
                <c:ptCount val="1"/>
                <c:pt idx="0">
                  <c:v>sum of adspend</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'[1]adspend vsnet follwers chart'!$B$2:$B$266</c:f>
              <c:numCache>
                <c:formatCode>General</c:formatCode>
                <c:ptCount val="265"/>
                <c:pt idx="0">
                  <c:v>3034839</c:v>
                </c:pt>
                <c:pt idx="1">
                  <c:v>307396</c:v>
                </c:pt>
                <c:pt idx="2">
                  <c:v>72893</c:v>
                </c:pt>
                <c:pt idx="3">
                  <c:v>9566</c:v>
                </c:pt>
                <c:pt idx="4">
                  <c:v>5904</c:v>
                </c:pt>
                <c:pt idx="5">
                  <c:v>26752</c:v>
                </c:pt>
                <c:pt idx="6">
                  <c:v>30671</c:v>
                </c:pt>
                <c:pt idx="7">
                  <c:v>47961</c:v>
                </c:pt>
                <c:pt idx="8">
                  <c:v>7924</c:v>
                </c:pt>
                <c:pt idx="9">
                  <c:v>9920</c:v>
                </c:pt>
                <c:pt idx="10">
                  <c:v>8912</c:v>
                </c:pt>
                <c:pt idx="11">
                  <c:v>21205</c:v>
                </c:pt>
                <c:pt idx="12">
                  <c:v>104794</c:v>
                </c:pt>
                <c:pt idx="13">
                  <c:v>46670</c:v>
                </c:pt>
                <c:pt idx="14">
                  <c:v>11329</c:v>
                </c:pt>
                <c:pt idx="15">
                  <c:v>22482</c:v>
                </c:pt>
                <c:pt idx="16">
                  <c:v>24313</c:v>
                </c:pt>
                <c:pt idx="17">
                  <c:v>81748</c:v>
                </c:pt>
                <c:pt idx="18">
                  <c:v>30635</c:v>
                </c:pt>
                <c:pt idx="19">
                  <c:v>18050</c:v>
                </c:pt>
                <c:pt idx="20">
                  <c:v>31280</c:v>
                </c:pt>
                <c:pt idx="21">
                  <c:v>1783</c:v>
                </c:pt>
                <c:pt idx="22">
                  <c:v>461093</c:v>
                </c:pt>
                <c:pt idx="23">
                  <c:v>87847</c:v>
                </c:pt>
                <c:pt idx="24">
                  <c:v>42307</c:v>
                </c:pt>
                <c:pt idx="25">
                  <c:v>9566</c:v>
                </c:pt>
                <c:pt idx="26">
                  <c:v>5914</c:v>
                </c:pt>
                <c:pt idx="27">
                  <c:v>30060</c:v>
                </c:pt>
                <c:pt idx="28">
                  <c:v>79341</c:v>
                </c:pt>
                <c:pt idx="29">
                  <c:v>38610</c:v>
                </c:pt>
                <c:pt idx="30">
                  <c:v>22728</c:v>
                </c:pt>
                <c:pt idx="31">
                  <c:v>2932</c:v>
                </c:pt>
                <c:pt idx="32">
                  <c:v>15071</c:v>
                </c:pt>
                <c:pt idx="33">
                  <c:v>115027</c:v>
                </c:pt>
                <c:pt idx="34">
                  <c:v>43420</c:v>
                </c:pt>
                <c:pt idx="35">
                  <c:v>10740</c:v>
                </c:pt>
                <c:pt idx="36">
                  <c:v>32393</c:v>
                </c:pt>
                <c:pt idx="37">
                  <c:v>28474</c:v>
                </c:pt>
                <c:pt idx="38">
                  <c:v>102610</c:v>
                </c:pt>
                <c:pt idx="39">
                  <c:v>26067</c:v>
                </c:pt>
                <c:pt idx="40">
                  <c:v>17328</c:v>
                </c:pt>
                <c:pt idx="41">
                  <c:v>32763</c:v>
                </c:pt>
                <c:pt idx="42">
                  <c:v>26452</c:v>
                </c:pt>
                <c:pt idx="43">
                  <c:v>76268</c:v>
                </c:pt>
                <c:pt idx="44">
                  <c:v>4839</c:v>
                </c:pt>
                <c:pt idx="45">
                  <c:v>15353</c:v>
                </c:pt>
                <c:pt idx="46">
                  <c:v>39272</c:v>
                </c:pt>
                <c:pt idx="47">
                  <c:v>16804</c:v>
                </c:pt>
                <c:pt idx="48">
                  <c:v>439593</c:v>
                </c:pt>
                <c:pt idx="49">
                  <c:v>137514</c:v>
                </c:pt>
                <c:pt idx="50">
                  <c:v>26455</c:v>
                </c:pt>
                <c:pt idx="51">
                  <c:v>49303</c:v>
                </c:pt>
                <c:pt idx="52">
                  <c:v>12384</c:v>
                </c:pt>
                <c:pt idx="53">
                  <c:v>49372</c:v>
                </c:pt>
                <c:pt idx="54">
                  <c:v>125177</c:v>
                </c:pt>
                <c:pt idx="55">
                  <c:v>37903</c:v>
                </c:pt>
                <c:pt idx="56">
                  <c:v>47101</c:v>
                </c:pt>
                <c:pt idx="57">
                  <c:v>33258</c:v>
                </c:pt>
                <c:pt idx="58">
                  <c:v>6915</c:v>
                </c:pt>
                <c:pt idx="59">
                  <c:v>82193</c:v>
                </c:pt>
                <c:pt idx="60">
                  <c:v>14203</c:v>
                </c:pt>
                <c:pt idx="61">
                  <c:v>35501</c:v>
                </c:pt>
                <c:pt idx="62">
                  <c:v>22206</c:v>
                </c:pt>
                <c:pt idx="63">
                  <c:v>10283</c:v>
                </c:pt>
                <c:pt idx="64">
                  <c:v>94709</c:v>
                </c:pt>
                <c:pt idx="65">
                  <c:v>26925</c:v>
                </c:pt>
                <c:pt idx="66">
                  <c:v>24913</c:v>
                </c:pt>
                <c:pt idx="67">
                  <c:v>9942</c:v>
                </c:pt>
                <c:pt idx="68">
                  <c:v>32929</c:v>
                </c:pt>
                <c:pt idx="69">
                  <c:v>456377</c:v>
                </c:pt>
                <c:pt idx="70">
                  <c:v>100656</c:v>
                </c:pt>
                <c:pt idx="71">
                  <c:v>24384</c:v>
                </c:pt>
                <c:pt idx="72">
                  <c:v>37829</c:v>
                </c:pt>
                <c:pt idx="73">
                  <c:v>25797</c:v>
                </c:pt>
                <c:pt idx="74">
                  <c:v>12646</c:v>
                </c:pt>
                <c:pt idx="75">
                  <c:v>92834</c:v>
                </c:pt>
                <c:pt idx="76">
                  <c:v>40478</c:v>
                </c:pt>
                <c:pt idx="77">
                  <c:v>26663</c:v>
                </c:pt>
                <c:pt idx="78">
                  <c:v>15476</c:v>
                </c:pt>
                <c:pt idx="79">
                  <c:v>10217</c:v>
                </c:pt>
                <c:pt idx="80">
                  <c:v>105113</c:v>
                </c:pt>
                <c:pt idx="81">
                  <c:v>47462</c:v>
                </c:pt>
                <c:pt idx="82">
                  <c:v>21939</c:v>
                </c:pt>
                <c:pt idx="83">
                  <c:v>30270</c:v>
                </c:pt>
                <c:pt idx="84">
                  <c:v>5442</c:v>
                </c:pt>
                <c:pt idx="85">
                  <c:v>75885</c:v>
                </c:pt>
                <c:pt idx="86">
                  <c:v>11901</c:v>
                </c:pt>
                <c:pt idx="87">
                  <c:v>1083</c:v>
                </c:pt>
                <c:pt idx="88">
                  <c:v>24018</c:v>
                </c:pt>
                <c:pt idx="89">
                  <c:v>38883</c:v>
                </c:pt>
                <c:pt idx="90">
                  <c:v>81889</c:v>
                </c:pt>
                <c:pt idx="91">
                  <c:v>2315</c:v>
                </c:pt>
                <c:pt idx="92">
                  <c:v>30575</c:v>
                </c:pt>
                <c:pt idx="93">
                  <c:v>12148</c:v>
                </c:pt>
                <c:pt idx="94">
                  <c:v>36851</c:v>
                </c:pt>
                <c:pt idx="95">
                  <c:v>447611</c:v>
                </c:pt>
                <c:pt idx="96">
                  <c:v>117382</c:v>
                </c:pt>
                <c:pt idx="97">
                  <c:v>43836</c:v>
                </c:pt>
                <c:pt idx="98">
                  <c:v>41215</c:v>
                </c:pt>
                <c:pt idx="99">
                  <c:v>4509</c:v>
                </c:pt>
                <c:pt idx="100">
                  <c:v>27822</c:v>
                </c:pt>
                <c:pt idx="101">
                  <c:v>83598</c:v>
                </c:pt>
                <c:pt idx="102">
                  <c:v>7285</c:v>
                </c:pt>
                <c:pt idx="103">
                  <c:v>36397</c:v>
                </c:pt>
                <c:pt idx="104">
                  <c:v>33174</c:v>
                </c:pt>
                <c:pt idx="105">
                  <c:v>6742</c:v>
                </c:pt>
                <c:pt idx="106">
                  <c:v>140831</c:v>
                </c:pt>
                <c:pt idx="107">
                  <c:v>42824</c:v>
                </c:pt>
                <c:pt idx="108">
                  <c:v>32478</c:v>
                </c:pt>
                <c:pt idx="109">
                  <c:v>21208</c:v>
                </c:pt>
                <c:pt idx="110">
                  <c:v>44321</c:v>
                </c:pt>
                <c:pt idx="111">
                  <c:v>105800</c:v>
                </c:pt>
                <c:pt idx="112">
                  <c:v>30214</c:v>
                </c:pt>
                <c:pt idx="113">
                  <c:v>13116</c:v>
                </c:pt>
                <c:pt idx="114">
                  <c:v>15827</c:v>
                </c:pt>
                <c:pt idx="115">
                  <c:v>46643</c:v>
                </c:pt>
                <c:pt idx="116">
                  <c:v>424987</c:v>
                </c:pt>
                <c:pt idx="117">
                  <c:v>94018</c:v>
                </c:pt>
                <c:pt idx="118">
                  <c:v>4996</c:v>
                </c:pt>
                <c:pt idx="119">
                  <c:v>36484</c:v>
                </c:pt>
                <c:pt idx="120">
                  <c:v>36095</c:v>
                </c:pt>
                <c:pt idx="121">
                  <c:v>16443</c:v>
                </c:pt>
                <c:pt idx="122">
                  <c:v>125961</c:v>
                </c:pt>
                <c:pt idx="123">
                  <c:v>38452</c:v>
                </c:pt>
                <c:pt idx="124">
                  <c:v>47812</c:v>
                </c:pt>
                <c:pt idx="125">
                  <c:v>30428</c:v>
                </c:pt>
                <c:pt idx="126">
                  <c:v>9269</c:v>
                </c:pt>
                <c:pt idx="127">
                  <c:v>97294</c:v>
                </c:pt>
                <c:pt idx="128">
                  <c:v>39997</c:v>
                </c:pt>
                <c:pt idx="129">
                  <c:v>29533</c:v>
                </c:pt>
                <c:pt idx="130">
                  <c:v>5391</c:v>
                </c:pt>
                <c:pt idx="131">
                  <c:v>22373</c:v>
                </c:pt>
                <c:pt idx="132">
                  <c:v>107714</c:v>
                </c:pt>
                <c:pt idx="133">
                  <c:v>28498</c:v>
                </c:pt>
                <c:pt idx="134">
                  <c:v>1810</c:v>
                </c:pt>
                <c:pt idx="135">
                  <c:v>39530</c:v>
                </c:pt>
                <c:pt idx="136">
                  <c:v>37876</c:v>
                </c:pt>
                <c:pt idx="137">
                  <c:v>497782</c:v>
                </c:pt>
                <c:pt idx="138">
                  <c:v>106549</c:v>
                </c:pt>
                <c:pt idx="139">
                  <c:v>26103</c:v>
                </c:pt>
                <c:pt idx="140">
                  <c:v>36103</c:v>
                </c:pt>
                <c:pt idx="141">
                  <c:v>3455</c:v>
                </c:pt>
                <c:pt idx="142">
                  <c:v>40888</c:v>
                </c:pt>
                <c:pt idx="143">
                  <c:v>108811</c:v>
                </c:pt>
                <c:pt idx="144">
                  <c:v>18601</c:v>
                </c:pt>
                <c:pt idx="145">
                  <c:v>22724</c:v>
                </c:pt>
                <c:pt idx="146">
                  <c:v>20861</c:v>
                </c:pt>
                <c:pt idx="147">
                  <c:v>46625</c:v>
                </c:pt>
                <c:pt idx="148">
                  <c:v>102222</c:v>
                </c:pt>
                <c:pt idx="149">
                  <c:v>18656</c:v>
                </c:pt>
                <c:pt idx="150">
                  <c:v>20692</c:v>
                </c:pt>
                <c:pt idx="151">
                  <c:v>13316</c:v>
                </c:pt>
                <c:pt idx="152">
                  <c:v>49558</c:v>
                </c:pt>
                <c:pt idx="153">
                  <c:v>101698</c:v>
                </c:pt>
                <c:pt idx="154">
                  <c:v>47502</c:v>
                </c:pt>
                <c:pt idx="155">
                  <c:v>4683</c:v>
                </c:pt>
                <c:pt idx="156">
                  <c:v>35359</c:v>
                </c:pt>
                <c:pt idx="157">
                  <c:v>14154</c:v>
                </c:pt>
                <c:pt idx="158">
                  <c:v>78502</c:v>
                </c:pt>
                <c:pt idx="159">
                  <c:v>25140</c:v>
                </c:pt>
                <c:pt idx="160">
                  <c:v>4313</c:v>
                </c:pt>
                <c:pt idx="161">
                  <c:v>9118</c:v>
                </c:pt>
                <c:pt idx="162">
                  <c:v>39931</c:v>
                </c:pt>
                <c:pt idx="163">
                  <c:v>1798077</c:v>
                </c:pt>
                <c:pt idx="164">
                  <c:v>415663</c:v>
                </c:pt>
                <c:pt idx="165">
                  <c:v>72926</c:v>
                </c:pt>
                <c:pt idx="166">
                  <c:v>17951</c:v>
                </c:pt>
                <c:pt idx="167">
                  <c:v>37132</c:v>
                </c:pt>
                <c:pt idx="168">
                  <c:v>2798</c:v>
                </c:pt>
                <c:pt idx="169">
                  <c:v>15045</c:v>
                </c:pt>
                <c:pt idx="170">
                  <c:v>113474</c:v>
                </c:pt>
                <c:pt idx="171">
                  <c:v>45708</c:v>
                </c:pt>
                <c:pt idx="172">
                  <c:v>14548</c:v>
                </c:pt>
                <c:pt idx="173">
                  <c:v>12350</c:v>
                </c:pt>
                <c:pt idx="174">
                  <c:v>40868</c:v>
                </c:pt>
                <c:pt idx="175">
                  <c:v>120060</c:v>
                </c:pt>
                <c:pt idx="176">
                  <c:v>23853</c:v>
                </c:pt>
                <c:pt idx="177">
                  <c:v>43122</c:v>
                </c:pt>
                <c:pt idx="178">
                  <c:v>45380</c:v>
                </c:pt>
                <c:pt idx="179">
                  <c:v>7705</c:v>
                </c:pt>
                <c:pt idx="180">
                  <c:v>109203</c:v>
                </c:pt>
                <c:pt idx="181">
                  <c:v>20560</c:v>
                </c:pt>
                <c:pt idx="182">
                  <c:v>25525</c:v>
                </c:pt>
                <c:pt idx="183">
                  <c:v>19119</c:v>
                </c:pt>
                <c:pt idx="184">
                  <c:v>43999</c:v>
                </c:pt>
                <c:pt idx="185">
                  <c:v>468364</c:v>
                </c:pt>
                <c:pt idx="186">
                  <c:v>117419</c:v>
                </c:pt>
                <c:pt idx="187">
                  <c:v>40323</c:v>
                </c:pt>
                <c:pt idx="188">
                  <c:v>10825</c:v>
                </c:pt>
                <c:pt idx="189">
                  <c:v>48270</c:v>
                </c:pt>
                <c:pt idx="190">
                  <c:v>18001</c:v>
                </c:pt>
                <c:pt idx="191">
                  <c:v>94129</c:v>
                </c:pt>
                <c:pt idx="192">
                  <c:v>23489</c:v>
                </c:pt>
                <c:pt idx="193">
                  <c:v>3314</c:v>
                </c:pt>
                <c:pt idx="194">
                  <c:v>42832</c:v>
                </c:pt>
                <c:pt idx="195">
                  <c:v>24494</c:v>
                </c:pt>
                <c:pt idx="196">
                  <c:v>136582</c:v>
                </c:pt>
                <c:pt idx="197">
                  <c:v>31853</c:v>
                </c:pt>
                <c:pt idx="198">
                  <c:v>44097</c:v>
                </c:pt>
                <c:pt idx="199">
                  <c:v>37636</c:v>
                </c:pt>
                <c:pt idx="200">
                  <c:v>22996</c:v>
                </c:pt>
                <c:pt idx="201">
                  <c:v>120234</c:v>
                </c:pt>
                <c:pt idx="202">
                  <c:v>22713</c:v>
                </c:pt>
                <c:pt idx="203">
                  <c:v>49772</c:v>
                </c:pt>
                <c:pt idx="204">
                  <c:v>8718</c:v>
                </c:pt>
                <c:pt idx="205">
                  <c:v>39031</c:v>
                </c:pt>
                <c:pt idx="206">
                  <c:v>423771</c:v>
                </c:pt>
                <c:pt idx="207">
                  <c:v>95341</c:v>
                </c:pt>
                <c:pt idx="208">
                  <c:v>20553</c:v>
                </c:pt>
                <c:pt idx="209">
                  <c:v>33799</c:v>
                </c:pt>
                <c:pt idx="210">
                  <c:v>10002</c:v>
                </c:pt>
                <c:pt idx="211">
                  <c:v>30987</c:v>
                </c:pt>
                <c:pt idx="212">
                  <c:v>53940</c:v>
                </c:pt>
                <c:pt idx="213">
                  <c:v>21539</c:v>
                </c:pt>
                <c:pt idx="214">
                  <c:v>6296</c:v>
                </c:pt>
                <c:pt idx="215">
                  <c:v>14722</c:v>
                </c:pt>
                <c:pt idx="216">
                  <c:v>11383</c:v>
                </c:pt>
                <c:pt idx="217">
                  <c:v>88465</c:v>
                </c:pt>
                <c:pt idx="218">
                  <c:v>29116</c:v>
                </c:pt>
                <c:pt idx="219">
                  <c:v>9480</c:v>
                </c:pt>
                <c:pt idx="220">
                  <c:v>14068</c:v>
                </c:pt>
                <c:pt idx="221">
                  <c:v>35801</c:v>
                </c:pt>
                <c:pt idx="222">
                  <c:v>111650</c:v>
                </c:pt>
                <c:pt idx="223">
                  <c:v>21453</c:v>
                </c:pt>
                <c:pt idx="224">
                  <c:v>49077</c:v>
                </c:pt>
                <c:pt idx="225">
                  <c:v>21061</c:v>
                </c:pt>
                <c:pt idx="226">
                  <c:v>20059</c:v>
                </c:pt>
                <c:pt idx="227">
                  <c:v>74375</c:v>
                </c:pt>
                <c:pt idx="228">
                  <c:v>23461</c:v>
                </c:pt>
                <c:pt idx="229">
                  <c:v>23140</c:v>
                </c:pt>
                <c:pt idx="230">
                  <c:v>11805</c:v>
                </c:pt>
                <c:pt idx="231">
                  <c:v>15969</c:v>
                </c:pt>
                <c:pt idx="232">
                  <c:v>299166</c:v>
                </c:pt>
                <c:pt idx="233">
                  <c:v>132926</c:v>
                </c:pt>
                <c:pt idx="234">
                  <c:v>47603</c:v>
                </c:pt>
                <c:pt idx="235">
                  <c:v>2436</c:v>
                </c:pt>
                <c:pt idx="236">
                  <c:v>42964</c:v>
                </c:pt>
                <c:pt idx="237">
                  <c:v>39923</c:v>
                </c:pt>
                <c:pt idx="238">
                  <c:v>59981</c:v>
                </c:pt>
                <c:pt idx="239">
                  <c:v>25920</c:v>
                </c:pt>
                <c:pt idx="240">
                  <c:v>2293</c:v>
                </c:pt>
                <c:pt idx="241">
                  <c:v>11035</c:v>
                </c:pt>
                <c:pt idx="242">
                  <c:v>20733</c:v>
                </c:pt>
                <c:pt idx="243">
                  <c:v>49129</c:v>
                </c:pt>
                <c:pt idx="244">
                  <c:v>7875</c:v>
                </c:pt>
                <c:pt idx="245">
                  <c:v>18693</c:v>
                </c:pt>
                <c:pt idx="246">
                  <c:v>8471</c:v>
                </c:pt>
                <c:pt idx="247">
                  <c:v>14090</c:v>
                </c:pt>
                <c:pt idx="248">
                  <c:v>57130</c:v>
                </c:pt>
                <c:pt idx="249">
                  <c:v>3582</c:v>
                </c:pt>
                <c:pt idx="250">
                  <c:v>14216</c:v>
                </c:pt>
                <c:pt idx="251">
                  <c:v>32500</c:v>
                </c:pt>
                <c:pt idx="252">
                  <c:v>6832</c:v>
                </c:pt>
                <c:pt idx="253">
                  <c:v>191113</c:v>
                </c:pt>
                <c:pt idx="254">
                  <c:v>105490</c:v>
                </c:pt>
                <c:pt idx="255">
                  <c:v>48419</c:v>
                </c:pt>
                <c:pt idx="256">
                  <c:v>33381</c:v>
                </c:pt>
                <c:pt idx="257">
                  <c:v>16149</c:v>
                </c:pt>
                <c:pt idx="258">
                  <c:v>7541</c:v>
                </c:pt>
                <c:pt idx="259">
                  <c:v>85623</c:v>
                </c:pt>
                <c:pt idx="260">
                  <c:v>49400</c:v>
                </c:pt>
                <c:pt idx="261">
                  <c:v>20042</c:v>
                </c:pt>
                <c:pt idx="262">
                  <c:v>4007</c:v>
                </c:pt>
                <c:pt idx="263">
                  <c:v>12174</c:v>
                </c:pt>
                <c:pt idx="264">
                  <c:v>4832916</c:v>
                </c:pt>
              </c:numCache>
            </c:numRef>
          </c:xVal>
          <c:yVal>
            <c:numRef>
              <c:f>'[1]adspend vsnet follwers chart'!$C$2:$C$266</c:f>
              <c:numCache>
                <c:formatCode>General</c:formatCode>
                <c:ptCount val="265"/>
                <c:pt idx="0">
                  <c:v>98241</c:v>
                </c:pt>
                <c:pt idx="1">
                  <c:v>13452</c:v>
                </c:pt>
                <c:pt idx="2">
                  <c:v>3554</c:v>
                </c:pt>
                <c:pt idx="3">
                  <c:v>1002</c:v>
                </c:pt>
                <c:pt idx="4">
                  <c:v>1047</c:v>
                </c:pt>
                <c:pt idx="5">
                  <c:v>415</c:v>
                </c:pt>
                <c:pt idx="6">
                  <c:v>1090</c:v>
                </c:pt>
                <c:pt idx="7">
                  <c:v>2980</c:v>
                </c:pt>
                <c:pt idx="8">
                  <c:v>1283</c:v>
                </c:pt>
                <c:pt idx="9">
                  <c:v>517</c:v>
                </c:pt>
                <c:pt idx="10">
                  <c:v>186</c:v>
                </c:pt>
                <c:pt idx="11">
                  <c:v>994</c:v>
                </c:pt>
                <c:pt idx="12">
                  <c:v>3907</c:v>
                </c:pt>
                <c:pt idx="13">
                  <c:v>1382</c:v>
                </c:pt>
                <c:pt idx="14">
                  <c:v>893</c:v>
                </c:pt>
                <c:pt idx="15">
                  <c:v>1295</c:v>
                </c:pt>
                <c:pt idx="16">
                  <c:v>337</c:v>
                </c:pt>
                <c:pt idx="17">
                  <c:v>3011</c:v>
                </c:pt>
                <c:pt idx="18">
                  <c:v>1670</c:v>
                </c:pt>
                <c:pt idx="19">
                  <c:v>629</c:v>
                </c:pt>
                <c:pt idx="20">
                  <c:v>835</c:v>
                </c:pt>
                <c:pt idx="21">
                  <c:v>-123</c:v>
                </c:pt>
                <c:pt idx="22">
                  <c:v>11551</c:v>
                </c:pt>
                <c:pt idx="23">
                  <c:v>1293</c:v>
                </c:pt>
                <c:pt idx="24">
                  <c:v>64</c:v>
                </c:pt>
                <c:pt idx="25">
                  <c:v>-219</c:v>
                </c:pt>
                <c:pt idx="26">
                  <c:v>1357</c:v>
                </c:pt>
                <c:pt idx="27">
                  <c:v>91</c:v>
                </c:pt>
                <c:pt idx="28">
                  <c:v>3042</c:v>
                </c:pt>
                <c:pt idx="29">
                  <c:v>309</c:v>
                </c:pt>
                <c:pt idx="30">
                  <c:v>1672</c:v>
                </c:pt>
                <c:pt idx="31">
                  <c:v>547</c:v>
                </c:pt>
                <c:pt idx="32">
                  <c:v>514</c:v>
                </c:pt>
                <c:pt idx="33">
                  <c:v>2270</c:v>
                </c:pt>
                <c:pt idx="34">
                  <c:v>-164</c:v>
                </c:pt>
                <c:pt idx="35">
                  <c:v>1845</c:v>
                </c:pt>
                <c:pt idx="36">
                  <c:v>429</c:v>
                </c:pt>
                <c:pt idx="37">
                  <c:v>160</c:v>
                </c:pt>
                <c:pt idx="38">
                  <c:v>2753</c:v>
                </c:pt>
                <c:pt idx="39">
                  <c:v>961</c:v>
                </c:pt>
                <c:pt idx="40">
                  <c:v>159</c:v>
                </c:pt>
                <c:pt idx="41">
                  <c:v>1316</c:v>
                </c:pt>
                <c:pt idx="42">
                  <c:v>317</c:v>
                </c:pt>
                <c:pt idx="43">
                  <c:v>2193</c:v>
                </c:pt>
                <c:pt idx="44">
                  <c:v>-318</c:v>
                </c:pt>
                <c:pt idx="45">
                  <c:v>541</c:v>
                </c:pt>
                <c:pt idx="46">
                  <c:v>1495</c:v>
                </c:pt>
                <c:pt idx="47">
                  <c:v>475</c:v>
                </c:pt>
                <c:pt idx="48">
                  <c:v>10422</c:v>
                </c:pt>
                <c:pt idx="49">
                  <c:v>802</c:v>
                </c:pt>
                <c:pt idx="50">
                  <c:v>-197</c:v>
                </c:pt>
                <c:pt idx="51">
                  <c:v>352</c:v>
                </c:pt>
                <c:pt idx="52">
                  <c:v>328</c:v>
                </c:pt>
                <c:pt idx="53">
                  <c:v>319</c:v>
                </c:pt>
                <c:pt idx="54">
                  <c:v>3728</c:v>
                </c:pt>
                <c:pt idx="55">
                  <c:v>1334</c:v>
                </c:pt>
                <c:pt idx="56">
                  <c:v>1325</c:v>
                </c:pt>
                <c:pt idx="57">
                  <c:v>37</c:v>
                </c:pt>
                <c:pt idx="58">
                  <c:v>1032</c:v>
                </c:pt>
                <c:pt idx="59">
                  <c:v>2989</c:v>
                </c:pt>
                <c:pt idx="60">
                  <c:v>1058</c:v>
                </c:pt>
                <c:pt idx="61">
                  <c:v>76</c:v>
                </c:pt>
                <c:pt idx="62">
                  <c:v>1665</c:v>
                </c:pt>
                <c:pt idx="63">
                  <c:v>190</c:v>
                </c:pt>
                <c:pt idx="64">
                  <c:v>2903</c:v>
                </c:pt>
                <c:pt idx="65">
                  <c:v>37</c:v>
                </c:pt>
                <c:pt idx="66">
                  <c:v>1609</c:v>
                </c:pt>
                <c:pt idx="67">
                  <c:v>1229</c:v>
                </c:pt>
                <c:pt idx="68">
                  <c:v>28</c:v>
                </c:pt>
                <c:pt idx="69">
                  <c:v>15234</c:v>
                </c:pt>
                <c:pt idx="70">
                  <c:v>2822</c:v>
                </c:pt>
                <c:pt idx="71">
                  <c:v>1045</c:v>
                </c:pt>
                <c:pt idx="72">
                  <c:v>1247</c:v>
                </c:pt>
                <c:pt idx="73">
                  <c:v>197</c:v>
                </c:pt>
                <c:pt idx="74">
                  <c:v>333</c:v>
                </c:pt>
                <c:pt idx="75">
                  <c:v>4360</c:v>
                </c:pt>
                <c:pt idx="76">
                  <c:v>1428</c:v>
                </c:pt>
                <c:pt idx="77">
                  <c:v>1572</c:v>
                </c:pt>
                <c:pt idx="78">
                  <c:v>260</c:v>
                </c:pt>
                <c:pt idx="79">
                  <c:v>1100</c:v>
                </c:pt>
                <c:pt idx="80">
                  <c:v>1568</c:v>
                </c:pt>
                <c:pt idx="81">
                  <c:v>98</c:v>
                </c:pt>
                <c:pt idx="82">
                  <c:v>377</c:v>
                </c:pt>
                <c:pt idx="83">
                  <c:v>1125</c:v>
                </c:pt>
                <c:pt idx="84">
                  <c:v>-32</c:v>
                </c:pt>
                <c:pt idx="85">
                  <c:v>3333</c:v>
                </c:pt>
                <c:pt idx="86">
                  <c:v>-19</c:v>
                </c:pt>
                <c:pt idx="87">
                  <c:v>666</c:v>
                </c:pt>
                <c:pt idx="88">
                  <c:v>1680</c:v>
                </c:pt>
                <c:pt idx="89">
                  <c:v>1006</c:v>
                </c:pt>
                <c:pt idx="90">
                  <c:v>3151</c:v>
                </c:pt>
                <c:pt idx="91">
                  <c:v>-179</c:v>
                </c:pt>
                <c:pt idx="92">
                  <c:v>1025</c:v>
                </c:pt>
                <c:pt idx="93">
                  <c:v>599</c:v>
                </c:pt>
                <c:pt idx="94">
                  <c:v>1706</c:v>
                </c:pt>
                <c:pt idx="95">
                  <c:v>11092</c:v>
                </c:pt>
                <c:pt idx="96">
                  <c:v>3759</c:v>
                </c:pt>
                <c:pt idx="97">
                  <c:v>1662</c:v>
                </c:pt>
                <c:pt idx="98">
                  <c:v>1872</c:v>
                </c:pt>
                <c:pt idx="99">
                  <c:v>107</c:v>
                </c:pt>
                <c:pt idx="100">
                  <c:v>118</c:v>
                </c:pt>
                <c:pt idx="101">
                  <c:v>1856</c:v>
                </c:pt>
                <c:pt idx="102">
                  <c:v>285</c:v>
                </c:pt>
                <c:pt idx="103">
                  <c:v>1224</c:v>
                </c:pt>
                <c:pt idx="104">
                  <c:v>-20</c:v>
                </c:pt>
                <c:pt idx="105">
                  <c:v>367</c:v>
                </c:pt>
                <c:pt idx="106">
                  <c:v>2821</c:v>
                </c:pt>
                <c:pt idx="107">
                  <c:v>439</c:v>
                </c:pt>
                <c:pt idx="108">
                  <c:v>262</c:v>
                </c:pt>
                <c:pt idx="109">
                  <c:v>636</c:v>
                </c:pt>
                <c:pt idx="110">
                  <c:v>1484</c:v>
                </c:pt>
                <c:pt idx="111">
                  <c:v>2656</c:v>
                </c:pt>
                <c:pt idx="112">
                  <c:v>386</c:v>
                </c:pt>
                <c:pt idx="113">
                  <c:v>576</c:v>
                </c:pt>
                <c:pt idx="114">
                  <c:v>37</c:v>
                </c:pt>
                <c:pt idx="115">
                  <c:v>1657</c:v>
                </c:pt>
                <c:pt idx="116">
                  <c:v>11415</c:v>
                </c:pt>
                <c:pt idx="117">
                  <c:v>4584</c:v>
                </c:pt>
                <c:pt idx="118">
                  <c:v>540</c:v>
                </c:pt>
                <c:pt idx="119">
                  <c:v>1397</c:v>
                </c:pt>
                <c:pt idx="120">
                  <c:v>1603</c:v>
                </c:pt>
                <c:pt idx="121">
                  <c:v>1044</c:v>
                </c:pt>
                <c:pt idx="122">
                  <c:v>2295</c:v>
                </c:pt>
                <c:pt idx="123">
                  <c:v>-106</c:v>
                </c:pt>
                <c:pt idx="124">
                  <c:v>902</c:v>
                </c:pt>
                <c:pt idx="125">
                  <c:v>1150</c:v>
                </c:pt>
                <c:pt idx="126">
                  <c:v>349</c:v>
                </c:pt>
                <c:pt idx="127">
                  <c:v>528</c:v>
                </c:pt>
                <c:pt idx="128">
                  <c:v>72</c:v>
                </c:pt>
                <c:pt idx="129">
                  <c:v>-49</c:v>
                </c:pt>
                <c:pt idx="130">
                  <c:v>445</c:v>
                </c:pt>
                <c:pt idx="131">
                  <c:v>60</c:v>
                </c:pt>
                <c:pt idx="132">
                  <c:v>4008</c:v>
                </c:pt>
                <c:pt idx="133">
                  <c:v>1332</c:v>
                </c:pt>
                <c:pt idx="134">
                  <c:v>1693</c:v>
                </c:pt>
                <c:pt idx="135">
                  <c:v>98</c:v>
                </c:pt>
                <c:pt idx="136">
                  <c:v>885</c:v>
                </c:pt>
                <c:pt idx="137">
                  <c:v>25075</c:v>
                </c:pt>
                <c:pt idx="138">
                  <c:v>4795</c:v>
                </c:pt>
                <c:pt idx="139">
                  <c:v>1706</c:v>
                </c:pt>
                <c:pt idx="140">
                  <c:v>1625</c:v>
                </c:pt>
                <c:pt idx="141">
                  <c:v>1173</c:v>
                </c:pt>
                <c:pt idx="142">
                  <c:v>291</c:v>
                </c:pt>
                <c:pt idx="143">
                  <c:v>4792</c:v>
                </c:pt>
                <c:pt idx="144">
                  <c:v>1373</c:v>
                </c:pt>
                <c:pt idx="145">
                  <c:v>1119</c:v>
                </c:pt>
                <c:pt idx="146">
                  <c:v>1727</c:v>
                </c:pt>
                <c:pt idx="147">
                  <c:v>573</c:v>
                </c:pt>
                <c:pt idx="148">
                  <c:v>5044</c:v>
                </c:pt>
                <c:pt idx="149">
                  <c:v>1377</c:v>
                </c:pt>
                <c:pt idx="150">
                  <c:v>1432</c:v>
                </c:pt>
                <c:pt idx="151">
                  <c:v>1359</c:v>
                </c:pt>
                <c:pt idx="152">
                  <c:v>876</c:v>
                </c:pt>
                <c:pt idx="153">
                  <c:v>3914</c:v>
                </c:pt>
                <c:pt idx="154">
                  <c:v>730</c:v>
                </c:pt>
                <c:pt idx="155">
                  <c:v>684</c:v>
                </c:pt>
                <c:pt idx="156">
                  <c:v>911</c:v>
                </c:pt>
                <c:pt idx="157">
                  <c:v>1589</c:v>
                </c:pt>
                <c:pt idx="158">
                  <c:v>6530</c:v>
                </c:pt>
                <c:pt idx="159">
                  <c:v>1776</c:v>
                </c:pt>
                <c:pt idx="160">
                  <c:v>1765</c:v>
                </c:pt>
                <c:pt idx="161">
                  <c:v>1529</c:v>
                </c:pt>
                <c:pt idx="162">
                  <c:v>1460</c:v>
                </c:pt>
                <c:pt idx="163">
                  <c:v>61864</c:v>
                </c:pt>
                <c:pt idx="164">
                  <c:v>13331</c:v>
                </c:pt>
                <c:pt idx="165">
                  <c:v>3557</c:v>
                </c:pt>
                <c:pt idx="166">
                  <c:v>620</c:v>
                </c:pt>
                <c:pt idx="167">
                  <c:v>903</c:v>
                </c:pt>
                <c:pt idx="168">
                  <c:v>1188</c:v>
                </c:pt>
                <c:pt idx="169">
                  <c:v>846</c:v>
                </c:pt>
                <c:pt idx="170">
                  <c:v>2777</c:v>
                </c:pt>
                <c:pt idx="171">
                  <c:v>298</c:v>
                </c:pt>
                <c:pt idx="172">
                  <c:v>1722</c:v>
                </c:pt>
                <c:pt idx="173">
                  <c:v>-144</c:v>
                </c:pt>
                <c:pt idx="174">
                  <c:v>901</c:v>
                </c:pt>
                <c:pt idx="175">
                  <c:v>3614</c:v>
                </c:pt>
                <c:pt idx="176">
                  <c:v>427</c:v>
                </c:pt>
                <c:pt idx="177">
                  <c:v>1572</c:v>
                </c:pt>
                <c:pt idx="178">
                  <c:v>891</c:v>
                </c:pt>
                <c:pt idx="179">
                  <c:v>724</c:v>
                </c:pt>
                <c:pt idx="180">
                  <c:v>3383</c:v>
                </c:pt>
                <c:pt idx="181">
                  <c:v>898</c:v>
                </c:pt>
                <c:pt idx="182">
                  <c:v>-166</c:v>
                </c:pt>
                <c:pt idx="183">
                  <c:v>1426</c:v>
                </c:pt>
                <c:pt idx="184">
                  <c:v>1225</c:v>
                </c:pt>
                <c:pt idx="185">
                  <c:v>15974</c:v>
                </c:pt>
                <c:pt idx="186">
                  <c:v>2194</c:v>
                </c:pt>
                <c:pt idx="187">
                  <c:v>748</c:v>
                </c:pt>
                <c:pt idx="188">
                  <c:v>1080</c:v>
                </c:pt>
                <c:pt idx="189">
                  <c:v>569</c:v>
                </c:pt>
                <c:pt idx="190">
                  <c:v>-203</c:v>
                </c:pt>
                <c:pt idx="191">
                  <c:v>5281</c:v>
                </c:pt>
                <c:pt idx="192">
                  <c:v>912</c:v>
                </c:pt>
                <c:pt idx="193">
                  <c:v>1723</c:v>
                </c:pt>
                <c:pt idx="194">
                  <c:v>1202</c:v>
                </c:pt>
                <c:pt idx="195">
                  <c:v>1444</c:v>
                </c:pt>
                <c:pt idx="196">
                  <c:v>3693</c:v>
                </c:pt>
                <c:pt idx="197">
                  <c:v>1590</c:v>
                </c:pt>
                <c:pt idx="198">
                  <c:v>965</c:v>
                </c:pt>
                <c:pt idx="199">
                  <c:v>-37</c:v>
                </c:pt>
                <c:pt idx="200">
                  <c:v>1175</c:v>
                </c:pt>
                <c:pt idx="201">
                  <c:v>4806</c:v>
                </c:pt>
                <c:pt idx="202">
                  <c:v>1707</c:v>
                </c:pt>
                <c:pt idx="203">
                  <c:v>1375</c:v>
                </c:pt>
                <c:pt idx="204">
                  <c:v>708</c:v>
                </c:pt>
                <c:pt idx="205">
                  <c:v>1016</c:v>
                </c:pt>
                <c:pt idx="206">
                  <c:v>16078</c:v>
                </c:pt>
                <c:pt idx="207">
                  <c:v>2410</c:v>
                </c:pt>
                <c:pt idx="208">
                  <c:v>-119</c:v>
                </c:pt>
                <c:pt idx="209">
                  <c:v>1315</c:v>
                </c:pt>
                <c:pt idx="210">
                  <c:v>899</c:v>
                </c:pt>
                <c:pt idx="211">
                  <c:v>315</c:v>
                </c:pt>
                <c:pt idx="212">
                  <c:v>3712</c:v>
                </c:pt>
                <c:pt idx="213">
                  <c:v>908</c:v>
                </c:pt>
                <c:pt idx="214">
                  <c:v>212</c:v>
                </c:pt>
                <c:pt idx="215">
                  <c:v>1350</c:v>
                </c:pt>
                <c:pt idx="216">
                  <c:v>1242</c:v>
                </c:pt>
                <c:pt idx="217">
                  <c:v>4042</c:v>
                </c:pt>
                <c:pt idx="218">
                  <c:v>1116</c:v>
                </c:pt>
                <c:pt idx="219">
                  <c:v>680</c:v>
                </c:pt>
                <c:pt idx="220">
                  <c:v>861</c:v>
                </c:pt>
                <c:pt idx="221">
                  <c:v>1385</c:v>
                </c:pt>
                <c:pt idx="222">
                  <c:v>1616</c:v>
                </c:pt>
                <c:pt idx="223">
                  <c:v>474</c:v>
                </c:pt>
                <c:pt idx="224">
                  <c:v>461</c:v>
                </c:pt>
                <c:pt idx="225">
                  <c:v>292</c:v>
                </c:pt>
                <c:pt idx="226">
                  <c:v>389</c:v>
                </c:pt>
                <c:pt idx="227">
                  <c:v>4298</c:v>
                </c:pt>
                <c:pt idx="228">
                  <c:v>514</c:v>
                </c:pt>
                <c:pt idx="229">
                  <c:v>641</c:v>
                </c:pt>
                <c:pt idx="230">
                  <c:v>1676</c:v>
                </c:pt>
                <c:pt idx="231">
                  <c:v>1467</c:v>
                </c:pt>
                <c:pt idx="232">
                  <c:v>9892</c:v>
                </c:pt>
                <c:pt idx="233">
                  <c:v>2412</c:v>
                </c:pt>
                <c:pt idx="234">
                  <c:v>1029</c:v>
                </c:pt>
                <c:pt idx="235">
                  <c:v>167</c:v>
                </c:pt>
                <c:pt idx="236">
                  <c:v>1007</c:v>
                </c:pt>
                <c:pt idx="237">
                  <c:v>209</c:v>
                </c:pt>
                <c:pt idx="238">
                  <c:v>-137</c:v>
                </c:pt>
                <c:pt idx="239">
                  <c:v>-175</c:v>
                </c:pt>
                <c:pt idx="240">
                  <c:v>-160</c:v>
                </c:pt>
                <c:pt idx="241">
                  <c:v>53</c:v>
                </c:pt>
                <c:pt idx="242">
                  <c:v>145</c:v>
                </c:pt>
                <c:pt idx="243">
                  <c:v>4040</c:v>
                </c:pt>
                <c:pt idx="244">
                  <c:v>1045</c:v>
                </c:pt>
                <c:pt idx="245">
                  <c:v>603</c:v>
                </c:pt>
                <c:pt idx="246">
                  <c:v>759</c:v>
                </c:pt>
                <c:pt idx="247">
                  <c:v>1633</c:v>
                </c:pt>
                <c:pt idx="248">
                  <c:v>3577</c:v>
                </c:pt>
                <c:pt idx="249">
                  <c:v>453</c:v>
                </c:pt>
                <c:pt idx="250">
                  <c:v>1539</c:v>
                </c:pt>
                <c:pt idx="251">
                  <c:v>948</c:v>
                </c:pt>
                <c:pt idx="252">
                  <c:v>637</c:v>
                </c:pt>
                <c:pt idx="253">
                  <c:v>6589</c:v>
                </c:pt>
                <c:pt idx="254">
                  <c:v>4594</c:v>
                </c:pt>
                <c:pt idx="255">
                  <c:v>339</c:v>
                </c:pt>
                <c:pt idx="256">
                  <c:v>1881</c:v>
                </c:pt>
                <c:pt idx="257">
                  <c:v>1510</c:v>
                </c:pt>
                <c:pt idx="258">
                  <c:v>864</c:v>
                </c:pt>
                <c:pt idx="259">
                  <c:v>1995</c:v>
                </c:pt>
                <c:pt idx="260">
                  <c:v>407</c:v>
                </c:pt>
                <c:pt idx="261">
                  <c:v>1656</c:v>
                </c:pt>
                <c:pt idx="262">
                  <c:v>269</c:v>
                </c:pt>
                <c:pt idx="263">
                  <c:v>-337</c:v>
                </c:pt>
                <c:pt idx="264">
                  <c:v>160105</c:v>
                </c:pt>
              </c:numCache>
            </c:numRef>
          </c:yVal>
          <c:smooth val="0"/>
          <c:extLst>
            <c:ext xmlns:c16="http://schemas.microsoft.com/office/drawing/2014/chart" uri="{C3380CC4-5D6E-409C-BE32-E72D297353CC}">
              <c16:uniqueId val="{00000000-AF8A-486B-81F4-34B33587B23B}"/>
            </c:ext>
          </c:extLst>
        </c:ser>
        <c:ser>
          <c:idx val="1"/>
          <c:order val="1"/>
          <c:tx>
            <c:strRef>
              <c:f>'[1]adspend vsnet follwers chart'!$D$1</c:f>
              <c:strCache>
                <c:ptCount val="1"/>
                <c:pt idx="0">
                  <c:v>sum of engagement rate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'[1]adspend vsnet follwers chart'!$B$2:$B$266</c:f>
              <c:numCache>
                <c:formatCode>General</c:formatCode>
                <c:ptCount val="265"/>
                <c:pt idx="0">
                  <c:v>3034839</c:v>
                </c:pt>
                <c:pt idx="1">
                  <c:v>307396</c:v>
                </c:pt>
                <c:pt idx="2">
                  <c:v>72893</c:v>
                </c:pt>
                <c:pt idx="3">
                  <c:v>9566</c:v>
                </c:pt>
                <c:pt idx="4">
                  <c:v>5904</c:v>
                </c:pt>
                <c:pt idx="5">
                  <c:v>26752</c:v>
                </c:pt>
                <c:pt idx="6">
                  <c:v>30671</c:v>
                </c:pt>
                <c:pt idx="7">
                  <c:v>47961</c:v>
                </c:pt>
                <c:pt idx="8">
                  <c:v>7924</c:v>
                </c:pt>
                <c:pt idx="9">
                  <c:v>9920</c:v>
                </c:pt>
                <c:pt idx="10">
                  <c:v>8912</c:v>
                </c:pt>
                <c:pt idx="11">
                  <c:v>21205</c:v>
                </c:pt>
                <c:pt idx="12">
                  <c:v>104794</c:v>
                </c:pt>
                <c:pt idx="13">
                  <c:v>46670</c:v>
                </c:pt>
                <c:pt idx="14">
                  <c:v>11329</c:v>
                </c:pt>
                <c:pt idx="15">
                  <c:v>22482</c:v>
                </c:pt>
                <c:pt idx="16">
                  <c:v>24313</c:v>
                </c:pt>
                <c:pt idx="17">
                  <c:v>81748</c:v>
                </c:pt>
                <c:pt idx="18">
                  <c:v>30635</c:v>
                </c:pt>
                <c:pt idx="19">
                  <c:v>18050</c:v>
                </c:pt>
                <c:pt idx="20">
                  <c:v>31280</c:v>
                </c:pt>
                <c:pt idx="21">
                  <c:v>1783</c:v>
                </c:pt>
                <c:pt idx="22">
                  <c:v>461093</c:v>
                </c:pt>
                <c:pt idx="23">
                  <c:v>87847</c:v>
                </c:pt>
                <c:pt idx="24">
                  <c:v>42307</c:v>
                </c:pt>
                <c:pt idx="25">
                  <c:v>9566</c:v>
                </c:pt>
                <c:pt idx="26">
                  <c:v>5914</c:v>
                </c:pt>
                <c:pt idx="27">
                  <c:v>30060</c:v>
                </c:pt>
                <c:pt idx="28">
                  <c:v>79341</c:v>
                </c:pt>
                <c:pt idx="29">
                  <c:v>38610</c:v>
                </c:pt>
                <c:pt idx="30">
                  <c:v>22728</c:v>
                </c:pt>
                <c:pt idx="31">
                  <c:v>2932</c:v>
                </c:pt>
                <c:pt idx="32">
                  <c:v>15071</c:v>
                </c:pt>
                <c:pt idx="33">
                  <c:v>115027</c:v>
                </c:pt>
                <c:pt idx="34">
                  <c:v>43420</c:v>
                </c:pt>
                <c:pt idx="35">
                  <c:v>10740</c:v>
                </c:pt>
                <c:pt idx="36">
                  <c:v>32393</c:v>
                </c:pt>
                <c:pt idx="37">
                  <c:v>28474</c:v>
                </c:pt>
                <c:pt idx="38">
                  <c:v>102610</c:v>
                </c:pt>
                <c:pt idx="39">
                  <c:v>26067</c:v>
                </c:pt>
                <c:pt idx="40">
                  <c:v>17328</c:v>
                </c:pt>
                <c:pt idx="41">
                  <c:v>32763</c:v>
                </c:pt>
                <c:pt idx="42">
                  <c:v>26452</c:v>
                </c:pt>
                <c:pt idx="43">
                  <c:v>76268</c:v>
                </c:pt>
                <c:pt idx="44">
                  <c:v>4839</c:v>
                </c:pt>
                <c:pt idx="45">
                  <c:v>15353</c:v>
                </c:pt>
                <c:pt idx="46">
                  <c:v>39272</c:v>
                </c:pt>
                <c:pt idx="47">
                  <c:v>16804</c:v>
                </c:pt>
                <c:pt idx="48">
                  <c:v>439593</c:v>
                </c:pt>
                <c:pt idx="49">
                  <c:v>137514</c:v>
                </c:pt>
                <c:pt idx="50">
                  <c:v>26455</c:v>
                </c:pt>
                <c:pt idx="51">
                  <c:v>49303</c:v>
                </c:pt>
                <c:pt idx="52">
                  <c:v>12384</c:v>
                </c:pt>
                <c:pt idx="53">
                  <c:v>49372</c:v>
                </c:pt>
                <c:pt idx="54">
                  <c:v>125177</c:v>
                </c:pt>
                <c:pt idx="55">
                  <c:v>37903</c:v>
                </c:pt>
                <c:pt idx="56">
                  <c:v>47101</c:v>
                </c:pt>
                <c:pt idx="57">
                  <c:v>33258</c:v>
                </c:pt>
                <c:pt idx="58">
                  <c:v>6915</c:v>
                </c:pt>
                <c:pt idx="59">
                  <c:v>82193</c:v>
                </c:pt>
                <c:pt idx="60">
                  <c:v>14203</c:v>
                </c:pt>
                <c:pt idx="61">
                  <c:v>35501</c:v>
                </c:pt>
                <c:pt idx="62">
                  <c:v>22206</c:v>
                </c:pt>
                <c:pt idx="63">
                  <c:v>10283</c:v>
                </c:pt>
                <c:pt idx="64">
                  <c:v>94709</c:v>
                </c:pt>
                <c:pt idx="65">
                  <c:v>26925</c:v>
                </c:pt>
                <c:pt idx="66">
                  <c:v>24913</c:v>
                </c:pt>
                <c:pt idx="67">
                  <c:v>9942</c:v>
                </c:pt>
                <c:pt idx="68">
                  <c:v>32929</c:v>
                </c:pt>
                <c:pt idx="69">
                  <c:v>456377</c:v>
                </c:pt>
                <c:pt idx="70">
                  <c:v>100656</c:v>
                </c:pt>
                <c:pt idx="71">
                  <c:v>24384</c:v>
                </c:pt>
                <c:pt idx="72">
                  <c:v>37829</c:v>
                </c:pt>
                <c:pt idx="73">
                  <c:v>25797</c:v>
                </c:pt>
                <c:pt idx="74">
                  <c:v>12646</c:v>
                </c:pt>
                <c:pt idx="75">
                  <c:v>92834</c:v>
                </c:pt>
                <c:pt idx="76">
                  <c:v>40478</c:v>
                </c:pt>
                <c:pt idx="77">
                  <c:v>26663</c:v>
                </c:pt>
                <c:pt idx="78">
                  <c:v>15476</c:v>
                </c:pt>
                <c:pt idx="79">
                  <c:v>10217</c:v>
                </c:pt>
                <c:pt idx="80">
                  <c:v>105113</c:v>
                </c:pt>
                <c:pt idx="81">
                  <c:v>47462</c:v>
                </c:pt>
                <c:pt idx="82">
                  <c:v>21939</c:v>
                </c:pt>
                <c:pt idx="83">
                  <c:v>30270</c:v>
                </c:pt>
                <c:pt idx="84">
                  <c:v>5442</c:v>
                </c:pt>
                <c:pt idx="85">
                  <c:v>75885</c:v>
                </c:pt>
                <c:pt idx="86">
                  <c:v>11901</c:v>
                </c:pt>
                <c:pt idx="87">
                  <c:v>1083</c:v>
                </c:pt>
                <c:pt idx="88">
                  <c:v>24018</c:v>
                </c:pt>
                <c:pt idx="89">
                  <c:v>38883</c:v>
                </c:pt>
                <c:pt idx="90">
                  <c:v>81889</c:v>
                </c:pt>
                <c:pt idx="91">
                  <c:v>2315</c:v>
                </c:pt>
                <c:pt idx="92">
                  <c:v>30575</c:v>
                </c:pt>
                <c:pt idx="93">
                  <c:v>12148</c:v>
                </c:pt>
                <c:pt idx="94">
                  <c:v>36851</c:v>
                </c:pt>
                <c:pt idx="95">
                  <c:v>447611</c:v>
                </c:pt>
                <c:pt idx="96">
                  <c:v>117382</c:v>
                </c:pt>
                <c:pt idx="97">
                  <c:v>43836</c:v>
                </c:pt>
                <c:pt idx="98">
                  <c:v>41215</c:v>
                </c:pt>
                <c:pt idx="99">
                  <c:v>4509</c:v>
                </c:pt>
                <c:pt idx="100">
                  <c:v>27822</c:v>
                </c:pt>
                <c:pt idx="101">
                  <c:v>83598</c:v>
                </c:pt>
                <c:pt idx="102">
                  <c:v>7285</c:v>
                </c:pt>
                <c:pt idx="103">
                  <c:v>36397</c:v>
                </c:pt>
                <c:pt idx="104">
                  <c:v>33174</c:v>
                </c:pt>
                <c:pt idx="105">
                  <c:v>6742</c:v>
                </c:pt>
                <c:pt idx="106">
                  <c:v>140831</c:v>
                </c:pt>
                <c:pt idx="107">
                  <c:v>42824</c:v>
                </c:pt>
                <c:pt idx="108">
                  <c:v>32478</c:v>
                </c:pt>
                <c:pt idx="109">
                  <c:v>21208</c:v>
                </c:pt>
                <c:pt idx="110">
                  <c:v>44321</c:v>
                </c:pt>
                <c:pt idx="111">
                  <c:v>105800</c:v>
                </c:pt>
                <c:pt idx="112">
                  <c:v>30214</c:v>
                </c:pt>
                <c:pt idx="113">
                  <c:v>13116</c:v>
                </c:pt>
                <c:pt idx="114">
                  <c:v>15827</c:v>
                </c:pt>
                <c:pt idx="115">
                  <c:v>46643</c:v>
                </c:pt>
                <c:pt idx="116">
                  <c:v>424987</c:v>
                </c:pt>
                <c:pt idx="117">
                  <c:v>94018</c:v>
                </c:pt>
                <c:pt idx="118">
                  <c:v>4996</c:v>
                </c:pt>
                <c:pt idx="119">
                  <c:v>36484</c:v>
                </c:pt>
                <c:pt idx="120">
                  <c:v>36095</c:v>
                </c:pt>
                <c:pt idx="121">
                  <c:v>16443</c:v>
                </c:pt>
                <c:pt idx="122">
                  <c:v>125961</c:v>
                </c:pt>
                <c:pt idx="123">
                  <c:v>38452</c:v>
                </c:pt>
                <c:pt idx="124">
                  <c:v>47812</c:v>
                </c:pt>
                <c:pt idx="125">
                  <c:v>30428</c:v>
                </c:pt>
                <c:pt idx="126">
                  <c:v>9269</c:v>
                </c:pt>
                <c:pt idx="127">
                  <c:v>97294</c:v>
                </c:pt>
                <c:pt idx="128">
                  <c:v>39997</c:v>
                </c:pt>
                <c:pt idx="129">
                  <c:v>29533</c:v>
                </c:pt>
                <c:pt idx="130">
                  <c:v>5391</c:v>
                </c:pt>
                <c:pt idx="131">
                  <c:v>22373</c:v>
                </c:pt>
                <c:pt idx="132">
                  <c:v>107714</c:v>
                </c:pt>
                <c:pt idx="133">
                  <c:v>28498</c:v>
                </c:pt>
                <c:pt idx="134">
                  <c:v>1810</c:v>
                </c:pt>
                <c:pt idx="135">
                  <c:v>39530</c:v>
                </c:pt>
                <c:pt idx="136">
                  <c:v>37876</c:v>
                </c:pt>
                <c:pt idx="137">
                  <c:v>497782</c:v>
                </c:pt>
                <c:pt idx="138">
                  <c:v>106549</c:v>
                </c:pt>
                <c:pt idx="139">
                  <c:v>26103</c:v>
                </c:pt>
                <c:pt idx="140">
                  <c:v>36103</c:v>
                </c:pt>
                <c:pt idx="141">
                  <c:v>3455</c:v>
                </c:pt>
                <c:pt idx="142">
                  <c:v>40888</c:v>
                </c:pt>
                <c:pt idx="143">
                  <c:v>108811</c:v>
                </c:pt>
                <c:pt idx="144">
                  <c:v>18601</c:v>
                </c:pt>
                <c:pt idx="145">
                  <c:v>22724</c:v>
                </c:pt>
                <c:pt idx="146">
                  <c:v>20861</c:v>
                </c:pt>
                <c:pt idx="147">
                  <c:v>46625</c:v>
                </c:pt>
                <c:pt idx="148">
                  <c:v>102222</c:v>
                </c:pt>
                <c:pt idx="149">
                  <c:v>18656</c:v>
                </c:pt>
                <c:pt idx="150">
                  <c:v>20692</c:v>
                </c:pt>
                <c:pt idx="151">
                  <c:v>13316</c:v>
                </c:pt>
                <c:pt idx="152">
                  <c:v>49558</c:v>
                </c:pt>
                <c:pt idx="153">
                  <c:v>101698</c:v>
                </c:pt>
                <c:pt idx="154">
                  <c:v>47502</c:v>
                </c:pt>
                <c:pt idx="155">
                  <c:v>4683</c:v>
                </c:pt>
                <c:pt idx="156">
                  <c:v>35359</c:v>
                </c:pt>
                <c:pt idx="157">
                  <c:v>14154</c:v>
                </c:pt>
                <c:pt idx="158">
                  <c:v>78502</c:v>
                </c:pt>
                <c:pt idx="159">
                  <c:v>25140</c:v>
                </c:pt>
                <c:pt idx="160">
                  <c:v>4313</c:v>
                </c:pt>
                <c:pt idx="161">
                  <c:v>9118</c:v>
                </c:pt>
                <c:pt idx="162">
                  <c:v>39931</c:v>
                </c:pt>
                <c:pt idx="163">
                  <c:v>1798077</c:v>
                </c:pt>
                <c:pt idx="164">
                  <c:v>415663</c:v>
                </c:pt>
                <c:pt idx="165">
                  <c:v>72926</c:v>
                </c:pt>
                <c:pt idx="166">
                  <c:v>17951</c:v>
                </c:pt>
                <c:pt idx="167">
                  <c:v>37132</c:v>
                </c:pt>
                <c:pt idx="168">
                  <c:v>2798</c:v>
                </c:pt>
                <c:pt idx="169">
                  <c:v>15045</c:v>
                </c:pt>
                <c:pt idx="170">
                  <c:v>113474</c:v>
                </c:pt>
                <c:pt idx="171">
                  <c:v>45708</c:v>
                </c:pt>
                <c:pt idx="172">
                  <c:v>14548</c:v>
                </c:pt>
                <c:pt idx="173">
                  <c:v>12350</c:v>
                </c:pt>
                <c:pt idx="174">
                  <c:v>40868</c:v>
                </c:pt>
                <c:pt idx="175">
                  <c:v>120060</c:v>
                </c:pt>
                <c:pt idx="176">
                  <c:v>23853</c:v>
                </c:pt>
                <c:pt idx="177">
                  <c:v>43122</c:v>
                </c:pt>
                <c:pt idx="178">
                  <c:v>45380</c:v>
                </c:pt>
                <c:pt idx="179">
                  <c:v>7705</c:v>
                </c:pt>
                <c:pt idx="180">
                  <c:v>109203</c:v>
                </c:pt>
                <c:pt idx="181">
                  <c:v>20560</c:v>
                </c:pt>
                <c:pt idx="182">
                  <c:v>25525</c:v>
                </c:pt>
                <c:pt idx="183">
                  <c:v>19119</c:v>
                </c:pt>
                <c:pt idx="184">
                  <c:v>43999</c:v>
                </c:pt>
                <c:pt idx="185">
                  <c:v>468364</c:v>
                </c:pt>
                <c:pt idx="186">
                  <c:v>117419</c:v>
                </c:pt>
                <c:pt idx="187">
                  <c:v>40323</c:v>
                </c:pt>
                <c:pt idx="188">
                  <c:v>10825</c:v>
                </c:pt>
                <c:pt idx="189">
                  <c:v>48270</c:v>
                </c:pt>
                <c:pt idx="190">
                  <c:v>18001</c:v>
                </c:pt>
                <c:pt idx="191">
                  <c:v>94129</c:v>
                </c:pt>
                <c:pt idx="192">
                  <c:v>23489</c:v>
                </c:pt>
                <c:pt idx="193">
                  <c:v>3314</c:v>
                </c:pt>
                <c:pt idx="194">
                  <c:v>42832</c:v>
                </c:pt>
                <c:pt idx="195">
                  <c:v>24494</c:v>
                </c:pt>
                <c:pt idx="196">
                  <c:v>136582</c:v>
                </c:pt>
                <c:pt idx="197">
                  <c:v>31853</c:v>
                </c:pt>
                <c:pt idx="198">
                  <c:v>44097</c:v>
                </c:pt>
                <c:pt idx="199">
                  <c:v>37636</c:v>
                </c:pt>
                <c:pt idx="200">
                  <c:v>22996</c:v>
                </c:pt>
                <c:pt idx="201">
                  <c:v>120234</c:v>
                </c:pt>
                <c:pt idx="202">
                  <c:v>22713</c:v>
                </c:pt>
                <c:pt idx="203">
                  <c:v>49772</c:v>
                </c:pt>
                <c:pt idx="204">
                  <c:v>8718</c:v>
                </c:pt>
                <c:pt idx="205">
                  <c:v>39031</c:v>
                </c:pt>
                <c:pt idx="206">
                  <c:v>423771</c:v>
                </c:pt>
                <c:pt idx="207">
                  <c:v>95341</c:v>
                </c:pt>
                <c:pt idx="208">
                  <c:v>20553</c:v>
                </c:pt>
                <c:pt idx="209">
                  <c:v>33799</c:v>
                </c:pt>
                <c:pt idx="210">
                  <c:v>10002</c:v>
                </c:pt>
                <c:pt idx="211">
                  <c:v>30987</c:v>
                </c:pt>
                <c:pt idx="212">
                  <c:v>53940</c:v>
                </c:pt>
                <c:pt idx="213">
                  <c:v>21539</c:v>
                </c:pt>
                <c:pt idx="214">
                  <c:v>6296</c:v>
                </c:pt>
                <c:pt idx="215">
                  <c:v>14722</c:v>
                </c:pt>
                <c:pt idx="216">
                  <c:v>11383</c:v>
                </c:pt>
                <c:pt idx="217">
                  <c:v>88465</c:v>
                </c:pt>
                <c:pt idx="218">
                  <c:v>29116</c:v>
                </c:pt>
                <c:pt idx="219">
                  <c:v>9480</c:v>
                </c:pt>
                <c:pt idx="220">
                  <c:v>14068</c:v>
                </c:pt>
                <c:pt idx="221">
                  <c:v>35801</c:v>
                </c:pt>
                <c:pt idx="222">
                  <c:v>111650</c:v>
                </c:pt>
                <c:pt idx="223">
                  <c:v>21453</c:v>
                </c:pt>
                <c:pt idx="224">
                  <c:v>49077</c:v>
                </c:pt>
                <c:pt idx="225">
                  <c:v>21061</c:v>
                </c:pt>
                <c:pt idx="226">
                  <c:v>20059</c:v>
                </c:pt>
                <c:pt idx="227">
                  <c:v>74375</c:v>
                </c:pt>
                <c:pt idx="228">
                  <c:v>23461</c:v>
                </c:pt>
                <c:pt idx="229">
                  <c:v>23140</c:v>
                </c:pt>
                <c:pt idx="230">
                  <c:v>11805</c:v>
                </c:pt>
                <c:pt idx="231">
                  <c:v>15969</c:v>
                </c:pt>
                <c:pt idx="232">
                  <c:v>299166</c:v>
                </c:pt>
                <c:pt idx="233">
                  <c:v>132926</c:v>
                </c:pt>
                <c:pt idx="234">
                  <c:v>47603</c:v>
                </c:pt>
                <c:pt idx="235">
                  <c:v>2436</c:v>
                </c:pt>
                <c:pt idx="236">
                  <c:v>42964</c:v>
                </c:pt>
                <c:pt idx="237">
                  <c:v>39923</c:v>
                </c:pt>
                <c:pt idx="238">
                  <c:v>59981</c:v>
                </c:pt>
                <c:pt idx="239">
                  <c:v>25920</c:v>
                </c:pt>
                <c:pt idx="240">
                  <c:v>2293</c:v>
                </c:pt>
                <c:pt idx="241">
                  <c:v>11035</c:v>
                </c:pt>
                <c:pt idx="242">
                  <c:v>20733</c:v>
                </c:pt>
                <c:pt idx="243">
                  <c:v>49129</c:v>
                </c:pt>
                <c:pt idx="244">
                  <c:v>7875</c:v>
                </c:pt>
                <c:pt idx="245">
                  <c:v>18693</c:v>
                </c:pt>
                <c:pt idx="246">
                  <c:v>8471</c:v>
                </c:pt>
                <c:pt idx="247">
                  <c:v>14090</c:v>
                </c:pt>
                <c:pt idx="248">
                  <c:v>57130</c:v>
                </c:pt>
                <c:pt idx="249">
                  <c:v>3582</c:v>
                </c:pt>
                <c:pt idx="250">
                  <c:v>14216</c:v>
                </c:pt>
                <c:pt idx="251">
                  <c:v>32500</c:v>
                </c:pt>
                <c:pt idx="252">
                  <c:v>6832</c:v>
                </c:pt>
                <c:pt idx="253">
                  <c:v>191113</c:v>
                </c:pt>
                <c:pt idx="254">
                  <c:v>105490</c:v>
                </c:pt>
                <c:pt idx="255">
                  <c:v>48419</c:v>
                </c:pt>
                <c:pt idx="256">
                  <c:v>33381</c:v>
                </c:pt>
                <c:pt idx="257">
                  <c:v>16149</c:v>
                </c:pt>
                <c:pt idx="258">
                  <c:v>7541</c:v>
                </c:pt>
                <c:pt idx="259">
                  <c:v>85623</c:v>
                </c:pt>
                <c:pt idx="260">
                  <c:v>49400</c:v>
                </c:pt>
                <c:pt idx="261">
                  <c:v>20042</c:v>
                </c:pt>
                <c:pt idx="262">
                  <c:v>4007</c:v>
                </c:pt>
                <c:pt idx="263">
                  <c:v>12174</c:v>
                </c:pt>
                <c:pt idx="264">
                  <c:v>4832916</c:v>
                </c:pt>
              </c:numCache>
            </c:numRef>
          </c:xVal>
          <c:yVal>
            <c:numRef>
              <c:f>'[1]adspend vsnet follwers chart'!$D$2:$D$266</c:f>
              <c:numCache>
                <c:formatCode>General</c:formatCode>
                <c:ptCount val="265"/>
                <c:pt idx="0">
                  <c:v>704.57000000000016</c:v>
                </c:pt>
                <c:pt idx="1">
                  <c:v>88.460000000000008</c:v>
                </c:pt>
                <c:pt idx="2">
                  <c:v>25.46</c:v>
                </c:pt>
                <c:pt idx="3">
                  <c:v>4.9800000000000004</c:v>
                </c:pt>
                <c:pt idx="4">
                  <c:v>8.06</c:v>
                </c:pt>
                <c:pt idx="5">
                  <c:v>8.31</c:v>
                </c:pt>
                <c:pt idx="6">
                  <c:v>4.1100000000000003</c:v>
                </c:pt>
                <c:pt idx="7">
                  <c:v>18.590000000000003</c:v>
                </c:pt>
                <c:pt idx="8">
                  <c:v>2.37</c:v>
                </c:pt>
                <c:pt idx="9">
                  <c:v>9.0500000000000007</c:v>
                </c:pt>
                <c:pt idx="10">
                  <c:v>4.01</c:v>
                </c:pt>
                <c:pt idx="11">
                  <c:v>3.16</c:v>
                </c:pt>
                <c:pt idx="12">
                  <c:v>22.25</c:v>
                </c:pt>
                <c:pt idx="13">
                  <c:v>8.11</c:v>
                </c:pt>
                <c:pt idx="14">
                  <c:v>2.46</c:v>
                </c:pt>
                <c:pt idx="15">
                  <c:v>8.19</c:v>
                </c:pt>
                <c:pt idx="16">
                  <c:v>3.49</c:v>
                </c:pt>
                <c:pt idx="17">
                  <c:v>22.16</c:v>
                </c:pt>
                <c:pt idx="18">
                  <c:v>9.1199999999999992</c:v>
                </c:pt>
                <c:pt idx="19">
                  <c:v>6.92</c:v>
                </c:pt>
                <c:pt idx="20">
                  <c:v>3.5</c:v>
                </c:pt>
                <c:pt idx="21">
                  <c:v>2.62</c:v>
                </c:pt>
                <c:pt idx="22">
                  <c:v>116.46000000000001</c:v>
                </c:pt>
                <c:pt idx="23">
                  <c:v>28.75</c:v>
                </c:pt>
                <c:pt idx="24">
                  <c:v>4.4800000000000004</c:v>
                </c:pt>
                <c:pt idx="25">
                  <c:v>9.36</c:v>
                </c:pt>
                <c:pt idx="26">
                  <c:v>6.19</c:v>
                </c:pt>
                <c:pt idx="27">
                  <c:v>8.7200000000000006</c:v>
                </c:pt>
                <c:pt idx="28">
                  <c:v>18.190000000000001</c:v>
                </c:pt>
                <c:pt idx="29">
                  <c:v>1.91</c:v>
                </c:pt>
                <c:pt idx="30">
                  <c:v>8.74</c:v>
                </c:pt>
                <c:pt idx="31">
                  <c:v>4.66</c:v>
                </c:pt>
                <c:pt idx="32">
                  <c:v>2.88</c:v>
                </c:pt>
                <c:pt idx="33">
                  <c:v>23.3</c:v>
                </c:pt>
                <c:pt idx="34">
                  <c:v>6.44</c:v>
                </c:pt>
                <c:pt idx="35">
                  <c:v>3.74</c:v>
                </c:pt>
                <c:pt idx="36">
                  <c:v>8.56</c:v>
                </c:pt>
                <c:pt idx="37">
                  <c:v>4.5599999999999996</c:v>
                </c:pt>
                <c:pt idx="38">
                  <c:v>26.599999999999998</c:v>
                </c:pt>
                <c:pt idx="39">
                  <c:v>7.86</c:v>
                </c:pt>
                <c:pt idx="40">
                  <c:v>7.88</c:v>
                </c:pt>
                <c:pt idx="41">
                  <c:v>5.34</c:v>
                </c:pt>
                <c:pt idx="42">
                  <c:v>5.52</c:v>
                </c:pt>
                <c:pt idx="43">
                  <c:v>19.62</c:v>
                </c:pt>
                <c:pt idx="44">
                  <c:v>7.73</c:v>
                </c:pt>
                <c:pt idx="45">
                  <c:v>4.05</c:v>
                </c:pt>
                <c:pt idx="46">
                  <c:v>4.3600000000000003</c:v>
                </c:pt>
                <c:pt idx="47">
                  <c:v>3.48</c:v>
                </c:pt>
                <c:pt idx="48">
                  <c:v>105.63</c:v>
                </c:pt>
                <c:pt idx="49">
                  <c:v>27.41</c:v>
                </c:pt>
                <c:pt idx="50">
                  <c:v>6.11</c:v>
                </c:pt>
                <c:pt idx="51">
                  <c:v>7.83</c:v>
                </c:pt>
                <c:pt idx="52">
                  <c:v>9.43</c:v>
                </c:pt>
                <c:pt idx="53">
                  <c:v>4.04</c:v>
                </c:pt>
                <c:pt idx="54">
                  <c:v>26.21</c:v>
                </c:pt>
                <c:pt idx="55">
                  <c:v>6.01</c:v>
                </c:pt>
                <c:pt idx="56">
                  <c:v>6.23</c:v>
                </c:pt>
                <c:pt idx="57">
                  <c:v>8.5500000000000007</c:v>
                </c:pt>
                <c:pt idx="58">
                  <c:v>5.42</c:v>
                </c:pt>
                <c:pt idx="59">
                  <c:v>25.52</c:v>
                </c:pt>
                <c:pt idx="60">
                  <c:v>8.84</c:v>
                </c:pt>
                <c:pt idx="61">
                  <c:v>3.25</c:v>
                </c:pt>
                <c:pt idx="62">
                  <c:v>7.24</c:v>
                </c:pt>
                <c:pt idx="63">
                  <c:v>6.19</c:v>
                </c:pt>
                <c:pt idx="64">
                  <c:v>26.490000000000002</c:v>
                </c:pt>
                <c:pt idx="65">
                  <c:v>9.0399999999999991</c:v>
                </c:pt>
                <c:pt idx="66">
                  <c:v>5.71</c:v>
                </c:pt>
                <c:pt idx="67">
                  <c:v>3.91</c:v>
                </c:pt>
                <c:pt idx="68">
                  <c:v>7.83</c:v>
                </c:pt>
                <c:pt idx="69">
                  <c:v>120.14</c:v>
                </c:pt>
                <c:pt idx="70">
                  <c:v>25.45</c:v>
                </c:pt>
                <c:pt idx="71">
                  <c:v>6.41</c:v>
                </c:pt>
                <c:pt idx="72">
                  <c:v>7.16</c:v>
                </c:pt>
                <c:pt idx="73">
                  <c:v>8.02</c:v>
                </c:pt>
                <c:pt idx="74">
                  <c:v>3.86</c:v>
                </c:pt>
                <c:pt idx="75">
                  <c:v>29.08</c:v>
                </c:pt>
                <c:pt idx="76">
                  <c:v>1.76</c:v>
                </c:pt>
                <c:pt idx="77">
                  <c:v>9.09</c:v>
                </c:pt>
                <c:pt idx="78">
                  <c:v>9.24</c:v>
                </c:pt>
                <c:pt idx="79">
                  <c:v>8.99</c:v>
                </c:pt>
                <c:pt idx="80">
                  <c:v>24.689999999999998</c:v>
                </c:pt>
                <c:pt idx="81">
                  <c:v>9.1999999999999993</c:v>
                </c:pt>
                <c:pt idx="82">
                  <c:v>3.4</c:v>
                </c:pt>
                <c:pt idx="83">
                  <c:v>8.59</c:v>
                </c:pt>
                <c:pt idx="84">
                  <c:v>3.5</c:v>
                </c:pt>
                <c:pt idx="85">
                  <c:v>26.400000000000006</c:v>
                </c:pt>
                <c:pt idx="86">
                  <c:v>7.36</c:v>
                </c:pt>
                <c:pt idx="87">
                  <c:v>2.36</c:v>
                </c:pt>
                <c:pt idx="88">
                  <c:v>8.5500000000000007</c:v>
                </c:pt>
                <c:pt idx="89">
                  <c:v>8.1300000000000008</c:v>
                </c:pt>
                <c:pt idx="90">
                  <c:v>14.52</c:v>
                </c:pt>
                <c:pt idx="91">
                  <c:v>1.77</c:v>
                </c:pt>
                <c:pt idx="92">
                  <c:v>3.3</c:v>
                </c:pt>
                <c:pt idx="93">
                  <c:v>2.09</c:v>
                </c:pt>
                <c:pt idx="94">
                  <c:v>7.36</c:v>
                </c:pt>
                <c:pt idx="95">
                  <c:v>83.319999999999979</c:v>
                </c:pt>
                <c:pt idx="96">
                  <c:v>22.27</c:v>
                </c:pt>
                <c:pt idx="97">
                  <c:v>1.75</c:v>
                </c:pt>
                <c:pt idx="98">
                  <c:v>6.25</c:v>
                </c:pt>
                <c:pt idx="99">
                  <c:v>4.97</c:v>
                </c:pt>
                <c:pt idx="100">
                  <c:v>9.3000000000000007</c:v>
                </c:pt>
                <c:pt idx="101">
                  <c:v>20.21</c:v>
                </c:pt>
                <c:pt idx="102">
                  <c:v>3.88</c:v>
                </c:pt>
                <c:pt idx="103">
                  <c:v>8.9</c:v>
                </c:pt>
                <c:pt idx="104">
                  <c:v>5.9</c:v>
                </c:pt>
                <c:pt idx="105">
                  <c:v>1.53</c:v>
                </c:pt>
                <c:pt idx="106">
                  <c:v>23.32</c:v>
                </c:pt>
                <c:pt idx="107">
                  <c:v>3.16</c:v>
                </c:pt>
                <c:pt idx="108">
                  <c:v>6.5</c:v>
                </c:pt>
                <c:pt idx="109">
                  <c:v>8.25</c:v>
                </c:pt>
                <c:pt idx="110">
                  <c:v>5.41</c:v>
                </c:pt>
                <c:pt idx="111">
                  <c:v>17.519999999999996</c:v>
                </c:pt>
                <c:pt idx="112">
                  <c:v>4.46</c:v>
                </c:pt>
                <c:pt idx="113">
                  <c:v>5.85</c:v>
                </c:pt>
                <c:pt idx="114">
                  <c:v>5.22</c:v>
                </c:pt>
                <c:pt idx="115">
                  <c:v>1.99</c:v>
                </c:pt>
                <c:pt idx="116">
                  <c:v>92.77000000000001</c:v>
                </c:pt>
                <c:pt idx="117">
                  <c:v>21.93</c:v>
                </c:pt>
                <c:pt idx="118">
                  <c:v>3.32</c:v>
                </c:pt>
                <c:pt idx="119">
                  <c:v>6.85</c:v>
                </c:pt>
                <c:pt idx="120">
                  <c:v>5.68</c:v>
                </c:pt>
                <c:pt idx="121">
                  <c:v>6.08</c:v>
                </c:pt>
                <c:pt idx="122">
                  <c:v>23.79</c:v>
                </c:pt>
                <c:pt idx="123">
                  <c:v>8.6999999999999993</c:v>
                </c:pt>
                <c:pt idx="124">
                  <c:v>4.66</c:v>
                </c:pt>
                <c:pt idx="125">
                  <c:v>2.46</c:v>
                </c:pt>
                <c:pt idx="126">
                  <c:v>7.97</c:v>
                </c:pt>
                <c:pt idx="127">
                  <c:v>24.09</c:v>
                </c:pt>
                <c:pt idx="128">
                  <c:v>2.68</c:v>
                </c:pt>
                <c:pt idx="129">
                  <c:v>9.41</c:v>
                </c:pt>
                <c:pt idx="130">
                  <c:v>7.32</c:v>
                </c:pt>
                <c:pt idx="131">
                  <c:v>4.68</c:v>
                </c:pt>
                <c:pt idx="132">
                  <c:v>22.96</c:v>
                </c:pt>
                <c:pt idx="133">
                  <c:v>6.2</c:v>
                </c:pt>
                <c:pt idx="134">
                  <c:v>5.17</c:v>
                </c:pt>
                <c:pt idx="135">
                  <c:v>2.69</c:v>
                </c:pt>
                <c:pt idx="136">
                  <c:v>8.9</c:v>
                </c:pt>
                <c:pt idx="137">
                  <c:v>97.79</c:v>
                </c:pt>
                <c:pt idx="138">
                  <c:v>17.599999999999998</c:v>
                </c:pt>
                <c:pt idx="139">
                  <c:v>4.79</c:v>
                </c:pt>
                <c:pt idx="140">
                  <c:v>3.79</c:v>
                </c:pt>
                <c:pt idx="141">
                  <c:v>6.37</c:v>
                </c:pt>
                <c:pt idx="142">
                  <c:v>2.65</c:v>
                </c:pt>
                <c:pt idx="143">
                  <c:v>18.91</c:v>
                </c:pt>
                <c:pt idx="144">
                  <c:v>7.47</c:v>
                </c:pt>
                <c:pt idx="145">
                  <c:v>1.81</c:v>
                </c:pt>
                <c:pt idx="146">
                  <c:v>4.2</c:v>
                </c:pt>
                <c:pt idx="147">
                  <c:v>5.43</c:v>
                </c:pt>
                <c:pt idx="148">
                  <c:v>26.18</c:v>
                </c:pt>
                <c:pt idx="149">
                  <c:v>8.11</c:v>
                </c:pt>
                <c:pt idx="150">
                  <c:v>3.32</c:v>
                </c:pt>
                <c:pt idx="151">
                  <c:v>6.66</c:v>
                </c:pt>
                <c:pt idx="152">
                  <c:v>8.09</c:v>
                </c:pt>
                <c:pt idx="153">
                  <c:v>21.09</c:v>
                </c:pt>
                <c:pt idx="154">
                  <c:v>2.02</c:v>
                </c:pt>
                <c:pt idx="155">
                  <c:v>8.44</c:v>
                </c:pt>
                <c:pt idx="156">
                  <c:v>7.74</c:v>
                </c:pt>
                <c:pt idx="157">
                  <c:v>2.89</c:v>
                </c:pt>
                <c:pt idx="158">
                  <c:v>14.01</c:v>
                </c:pt>
                <c:pt idx="159">
                  <c:v>3.09</c:v>
                </c:pt>
                <c:pt idx="160">
                  <c:v>1.76</c:v>
                </c:pt>
                <c:pt idx="161">
                  <c:v>4.68</c:v>
                </c:pt>
                <c:pt idx="162">
                  <c:v>4.4800000000000004</c:v>
                </c:pt>
                <c:pt idx="163">
                  <c:v>424.37000000000006</c:v>
                </c:pt>
                <c:pt idx="164">
                  <c:v>83.800000000000011</c:v>
                </c:pt>
                <c:pt idx="165">
                  <c:v>24.05</c:v>
                </c:pt>
                <c:pt idx="166">
                  <c:v>8.1999999999999993</c:v>
                </c:pt>
                <c:pt idx="167">
                  <c:v>5.3</c:v>
                </c:pt>
                <c:pt idx="168">
                  <c:v>2.2200000000000002</c:v>
                </c:pt>
                <c:pt idx="169">
                  <c:v>8.33</c:v>
                </c:pt>
                <c:pt idx="170">
                  <c:v>14.760000000000002</c:v>
                </c:pt>
                <c:pt idx="171">
                  <c:v>5.61</c:v>
                </c:pt>
                <c:pt idx="172">
                  <c:v>3.3</c:v>
                </c:pt>
                <c:pt idx="173">
                  <c:v>2.56</c:v>
                </c:pt>
                <c:pt idx="174">
                  <c:v>3.29</c:v>
                </c:pt>
                <c:pt idx="175">
                  <c:v>23.66</c:v>
                </c:pt>
                <c:pt idx="176">
                  <c:v>4.51</c:v>
                </c:pt>
                <c:pt idx="177">
                  <c:v>9.24</c:v>
                </c:pt>
                <c:pt idx="178">
                  <c:v>5.23</c:v>
                </c:pt>
                <c:pt idx="179">
                  <c:v>4.68</c:v>
                </c:pt>
                <c:pt idx="180">
                  <c:v>21.33</c:v>
                </c:pt>
                <c:pt idx="181">
                  <c:v>6.37</c:v>
                </c:pt>
                <c:pt idx="182">
                  <c:v>9.23</c:v>
                </c:pt>
                <c:pt idx="183">
                  <c:v>2.0099999999999998</c:v>
                </c:pt>
                <c:pt idx="184">
                  <c:v>3.72</c:v>
                </c:pt>
                <c:pt idx="185">
                  <c:v>103.33999999999999</c:v>
                </c:pt>
                <c:pt idx="186">
                  <c:v>29.02</c:v>
                </c:pt>
                <c:pt idx="187">
                  <c:v>8.6999999999999993</c:v>
                </c:pt>
                <c:pt idx="188">
                  <c:v>3.89</c:v>
                </c:pt>
                <c:pt idx="189">
                  <c:v>6.95</c:v>
                </c:pt>
                <c:pt idx="190">
                  <c:v>9.48</c:v>
                </c:pt>
                <c:pt idx="191">
                  <c:v>28.660000000000004</c:v>
                </c:pt>
                <c:pt idx="192">
                  <c:v>8.0299999999999994</c:v>
                </c:pt>
                <c:pt idx="193">
                  <c:v>4.6100000000000003</c:v>
                </c:pt>
                <c:pt idx="194">
                  <c:v>6.99</c:v>
                </c:pt>
                <c:pt idx="195">
                  <c:v>9.0299999999999994</c:v>
                </c:pt>
                <c:pt idx="196">
                  <c:v>23.09</c:v>
                </c:pt>
                <c:pt idx="197">
                  <c:v>3.85</c:v>
                </c:pt>
                <c:pt idx="198">
                  <c:v>2.86</c:v>
                </c:pt>
                <c:pt idx="199">
                  <c:v>7.3</c:v>
                </c:pt>
                <c:pt idx="200">
                  <c:v>9.08</c:v>
                </c:pt>
                <c:pt idx="201">
                  <c:v>22.57</c:v>
                </c:pt>
                <c:pt idx="202">
                  <c:v>7.8</c:v>
                </c:pt>
                <c:pt idx="203">
                  <c:v>4.34</c:v>
                </c:pt>
                <c:pt idx="204">
                  <c:v>3.85</c:v>
                </c:pt>
                <c:pt idx="205">
                  <c:v>6.58</c:v>
                </c:pt>
                <c:pt idx="206">
                  <c:v>127.28</c:v>
                </c:pt>
                <c:pt idx="207">
                  <c:v>30.9</c:v>
                </c:pt>
                <c:pt idx="208">
                  <c:v>4.55</c:v>
                </c:pt>
                <c:pt idx="209">
                  <c:v>8.6199999999999992</c:v>
                </c:pt>
                <c:pt idx="210">
                  <c:v>8.33</c:v>
                </c:pt>
                <c:pt idx="211">
                  <c:v>9.4</c:v>
                </c:pt>
                <c:pt idx="212">
                  <c:v>27.85</c:v>
                </c:pt>
                <c:pt idx="213">
                  <c:v>9.39</c:v>
                </c:pt>
                <c:pt idx="214">
                  <c:v>7.23</c:v>
                </c:pt>
                <c:pt idx="215">
                  <c:v>5.12</c:v>
                </c:pt>
                <c:pt idx="216">
                  <c:v>6.11</c:v>
                </c:pt>
                <c:pt idx="217">
                  <c:v>23.12</c:v>
                </c:pt>
                <c:pt idx="218">
                  <c:v>4.9400000000000004</c:v>
                </c:pt>
                <c:pt idx="219">
                  <c:v>7.74</c:v>
                </c:pt>
                <c:pt idx="220">
                  <c:v>1.8</c:v>
                </c:pt>
                <c:pt idx="221">
                  <c:v>8.64</c:v>
                </c:pt>
                <c:pt idx="222">
                  <c:v>17.45</c:v>
                </c:pt>
                <c:pt idx="223">
                  <c:v>8.52</c:v>
                </c:pt>
                <c:pt idx="224">
                  <c:v>1.53</c:v>
                </c:pt>
                <c:pt idx="225">
                  <c:v>5.53</c:v>
                </c:pt>
                <c:pt idx="226">
                  <c:v>1.87</c:v>
                </c:pt>
                <c:pt idx="227">
                  <c:v>27.96</c:v>
                </c:pt>
                <c:pt idx="228">
                  <c:v>9.4600000000000009</c:v>
                </c:pt>
                <c:pt idx="229">
                  <c:v>6.27</c:v>
                </c:pt>
                <c:pt idx="230">
                  <c:v>7.5</c:v>
                </c:pt>
                <c:pt idx="231">
                  <c:v>4.7300000000000004</c:v>
                </c:pt>
                <c:pt idx="232">
                  <c:v>69.309999999999988</c:v>
                </c:pt>
                <c:pt idx="233">
                  <c:v>16.670000000000002</c:v>
                </c:pt>
                <c:pt idx="234">
                  <c:v>2.4900000000000002</c:v>
                </c:pt>
                <c:pt idx="235">
                  <c:v>3.19</c:v>
                </c:pt>
                <c:pt idx="236">
                  <c:v>4.5</c:v>
                </c:pt>
                <c:pt idx="237">
                  <c:v>6.49</c:v>
                </c:pt>
                <c:pt idx="238">
                  <c:v>23.4</c:v>
                </c:pt>
                <c:pt idx="239">
                  <c:v>4.83</c:v>
                </c:pt>
                <c:pt idx="240">
                  <c:v>6.73</c:v>
                </c:pt>
                <c:pt idx="241">
                  <c:v>5.3</c:v>
                </c:pt>
                <c:pt idx="242">
                  <c:v>6.54</c:v>
                </c:pt>
                <c:pt idx="243">
                  <c:v>14.93</c:v>
                </c:pt>
                <c:pt idx="244">
                  <c:v>2.6</c:v>
                </c:pt>
                <c:pt idx="245">
                  <c:v>6.8</c:v>
                </c:pt>
                <c:pt idx="246">
                  <c:v>2.44</c:v>
                </c:pt>
                <c:pt idx="247">
                  <c:v>3.09</c:v>
                </c:pt>
                <c:pt idx="248">
                  <c:v>14.31</c:v>
                </c:pt>
                <c:pt idx="249">
                  <c:v>3.86</c:v>
                </c:pt>
                <c:pt idx="250">
                  <c:v>5.69</c:v>
                </c:pt>
                <c:pt idx="251">
                  <c:v>3.16</c:v>
                </c:pt>
                <c:pt idx="252">
                  <c:v>1.6</c:v>
                </c:pt>
                <c:pt idx="253">
                  <c:v>40.64</c:v>
                </c:pt>
                <c:pt idx="254">
                  <c:v>20.440000000000001</c:v>
                </c:pt>
                <c:pt idx="255">
                  <c:v>5.59</c:v>
                </c:pt>
                <c:pt idx="256">
                  <c:v>6.09</c:v>
                </c:pt>
                <c:pt idx="257">
                  <c:v>3.55</c:v>
                </c:pt>
                <c:pt idx="258">
                  <c:v>5.21</c:v>
                </c:pt>
                <c:pt idx="259">
                  <c:v>20.2</c:v>
                </c:pt>
                <c:pt idx="260">
                  <c:v>4</c:v>
                </c:pt>
                <c:pt idx="261">
                  <c:v>1.82</c:v>
                </c:pt>
                <c:pt idx="262">
                  <c:v>7.57</c:v>
                </c:pt>
                <c:pt idx="263">
                  <c:v>6.81</c:v>
                </c:pt>
                <c:pt idx="264">
                  <c:v>1128.9399999999996</c:v>
                </c:pt>
              </c:numCache>
            </c:numRef>
          </c:yVal>
          <c:smooth val="0"/>
          <c:extLst>
            <c:ext xmlns:c16="http://schemas.microsoft.com/office/drawing/2014/chart" uri="{C3380CC4-5D6E-409C-BE32-E72D297353CC}">
              <c16:uniqueId val="{00000001-AF8A-486B-81F4-34B33587B23B}"/>
            </c:ext>
          </c:extLst>
        </c:ser>
        <c:dLbls>
          <c:showLegendKey val="0"/>
          <c:showVal val="0"/>
          <c:showCatName val="0"/>
          <c:showSerName val="0"/>
          <c:showPercent val="0"/>
          <c:showBubbleSize val="0"/>
        </c:dLbls>
        <c:axId val="855630768"/>
        <c:axId val="855632688"/>
      </c:scatterChart>
      <c:valAx>
        <c:axId val="8556307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5632688"/>
        <c:crosses val="autoZero"/>
        <c:crossBetween val="midCat"/>
      </c:valAx>
      <c:valAx>
        <c:axId val="8556326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56307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217</xdr:row>
      <xdr:rowOff>0</xdr:rowOff>
    </xdr:from>
    <xdr:to>
      <xdr:col>19</xdr:col>
      <xdr:colOff>530412</xdr:colOff>
      <xdr:row>240</xdr:row>
      <xdr:rowOff>114524</xdr:rowOff>
    </xdr:to>
    <xdr:graphicFrame macro="">
      <xdr:nvGraphicFramePr>
        <xdr:cNvPr id="2" name="Chart 1">
          <a:extLst>
            <a:ext uri="{FF2B5EF4-FFF2-40B4-BE49-F238E27FC236}">
              <a16:creationId xmlns:a16="http://schemas.microsoft.com/office/drawing/2014/main" id="{6D8604DE-1B28-49B8-9BCF-A0D4E8DBF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62</xdr:row>
      <xdr:rowOff>0</xdr:rowOff>
    </xdr:from>
    <xdr:to>
      <xdr:col>40</xdr:col>
      <xdr:colOff>78971</xdr:colOff>
      <xdr:row>98</xdr:row>
      <xdr:rowOff>55417</xdr:rowOff>
    </xdr:to>
    <xdr:graphicFrame macro="">
      <xdr:nvGraphicFramePr>
        <xdr:cNvPr id="2" name="Chart 1">
          <a:extLst>
            <a:ext uri="{FF2B5EF4-FFF2-40B4-BE49-F238E27FC236}">
              <a16:creationId xmlns:a16="http://schemas.microsoft.com/office/drawing/2014/main" id="{006044D3-0DF0-47B9-8736-9EB79F343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67</xdr:row>
      <xdr:rowOff>0</xdr:rowOff>
    </xdr:from>
    <xdr:to>
      <xdr:col>29</xdr:col>
      <xdr:colOff>298174</xdr:colOff>
      <xdr:row>97</xdr:row>
      <xdr:rowOff>66924</xdr:rowOff>
    </xdr:to>
    <xdr:graphicFrame macro="">
      <xdr:nvGraphicFramePr>
        <xdr:cNvPr id="2" name="Chart 1">
          <a:extLst>
            <a:ext uri="{FF2B5EF4-FFF2-40B4-BE49-F238E27FC236}">
              <a16:creationId xmlns:a16="http://schemas.microsoft.com/office/drawing/2014/main" id="{CB37B54D-A301-49E4-A93E-7804559BE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508000</xdr:colOff>
      <xdr:row>53</xdr:row>
      <xdr:rowOff>0</xdr:rowOff>
    </xdr:from>
    <xdr:to>
      <xdr:col>12</xdr:col>
      <xdr:colOff>508001</xdr:colOff>
      <xdr:row>66</xdr:row>
      <xdr:rowOff>89535</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7CD5FB2A-7413-4049-B6AB-6A613A211880}"/>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9202420" y="9692640"/>
              <a:ext cx="1828801"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198120</xdr:colOff>
      <xdr:row>3</xdr:row>
      <xdr:rowOff>80010</xdr:rowOff>
    </xdr:from>
    <xdr:to>
      <xdr:col>10</xdr:col>
      <xdr:colOff>1219200</xdr:colOff>
      <xdr:row>24</xdr:row>
      <xdr:rowOff>99060</xdr:rowOff>
    </xdr:to>
    <xdr:graphicFrame macro="">
      <xdr:nvGraphicFramePr>
        <xdr:cNvPr id="2" name="Chart 1">
          <a:extLst>
            <a:ext uri="{FF2B5EF4-FFF2-40B4-BE49-F238E27FC236}">
              <a16:creationId xmlns:a16="http://schemas.microsoft.com/office/drawing/2014/main" id="{2FEE0D34-3A1A-4B33-B759-0415911FE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tta\Downloads\Myntra_Social_Media_Analytics%20(3).xlsx" TargetMode="External"/><Relationship Id="rId1" Type="http://schemas.openxmlformats.org/officeDocument/2006/relationships/externalLinkPath" Target="file:///C:\Users\mitta\Downloads\Myntra_Social_Media_Analytics%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p 10 posts"/>
      <sheetName val="Platform+content Type"/>
      <sheetName val="hashtags"/>
      <sheetName val="Content Type vs Platform"/>
      <sheetName val="After campaign engagement rate"/>
      <sheetName val="Before campaign engagement Rate"/>
      <sheetName val="Post"/>
      <sheetName val=" Engagement vs Ad Spend"/>
      <sheetName val="Followers fluctuation platforms"/>
      <sheetName val="Actual Vs moving Averge"/>
      <sheetName val="Ad Spend vs Net_Followers"/>
      <sheetName val="adspend vsnet follwers chart"/>
      <sheetName val="Follower growth week platform"/>
      <sheetName val="Engagment Summary"/>
      <sheetName val="Follower growth by campaign"/>
      <sheetName val="Campaign Data"/>
      <sheetName val="Campaign summary pvt"/>
      <sheetName val="Campaign Uplift"/>
    </sheetNames>
    <sheetDataSet>
      <sheetData sheetId="0"/>
      <sheetData sheetId="1"/>
      <sheetData sheetId="2"/>
      <sheetData sheetId="3"/>
      <sheetData sheetId="4"/>
      <sheetData sheetId="5"/>
      <sheetData sheetId="6"/>
      <sheetData sheetId="7"/>
      <sheetData sheetId="8"/>
      <sheetData sheetId="9"/>
      <sheetData sheetId="10"/>
      <sheetData sheetId="11">
        <row r="1">
          <cell r="C1" t="str">
            <v>sum of adspend</v>
          </cell>
          <cell r="D1" t="str">
            <v>sum of engagement rate</v>
          </cell>
        </row>
        <row r="2">
          <cell r="B2">
            <v>3034839</v>
          </cell>
          <cell r="C2">
            <v>98241</v>
          </cell>
          <cell r="D2">
            <v>704.57000000000016</v>
          </cell>
        </row>
        <row r="3">
          <cell r="B3">
            <v>307396</v>
          </cell>
          <cell r="C3">
            <v>13452</v>
          </cell>
          <cell r="D3">
            <v>88.460000000000008</v>
          </cell>
        </row>
        <row r="4">
          <cell r="B4">
            <v>72893</v>
          </cell>
          <cell r="C4">
            <v>3554</v>
          </cell>
          <cell r="D4">
            <v>25.46</v>
          </cell>
        </row>
        <row r="5">
          <cell r="B5">
            <v>9566</v>
          </cell>
          <cell r="C5">
            <v>1002</v>
          </cell>
          <cell r="D5">
            <v>4.9800000000000004</v>
          </cell>
        </row>
        <row r="6">
          <cell r="B6">
            <v>5904</v>
          </cell>
          <cell r="C6">
            <v>1047</v>
          </cell>
          <cell r="D6">
            <v>8.06</v>
          </cell>
        </row>
        <row r="7">
          <cell r="B7">
            <v>26752</v>
          </cell>
          <cell r="C7">
            <v>415</v>
          </cell>
          <cell r="D7">
            <v>8.31</v>
          </cell>
        </row>
        <row r="8">
          <cell r="B8">
            <v>30671</v>
          </cell>
          <cell r="C8">
            <v>1090</v>
          </cell>
          <cell r="D8">
            <v>4.1100000000000003</v>
          </cell>
        </row>
        <row r="9">
          <cell r="B9">
            <v>47961</v>
          </cell>
          <cell r="C9">
            <v>2980</v>
          </cell>
          <cell r="D9">
            <v>18.590000000000003</v>
          </cell>
        </row>
        <row r="10">
          <cell r="B10">
            <v>7924</v>
          </cell>
          <cell r="C10">
            <v>1283</v>
          </cell>
          <cell r="D10">
            <v>2.37</v>
          </cell>
        </row>
        <row r="11">
          <cell r="B11">
            <v>9920</v>
          </cell>
          <cell r="C11">
            <v>517</v>
          </cell>
          <cell r="D11">
            <v>9.0500000000000007</v>
          </cell>
        </row>
        <row r="12">
          <cell r="B12">
            <v>8912</v>
          </cell>
          <cell r="C12">
            <v>186</v>
          </cell>
          <cell r="D12">
            <v>4.01</v>
          </cell>
        </row>
        <row r="13">
          <cell r="B13">
            <v>21205</v>
          </cell>
          <cell r="C13">
            <v>994</v>
          </cell>
          <cell r="D13">
            <v>3.16</v>
          </cell>
        </row>
        <row r="14">
          <cell r="B14">
            <v>104794</v>
          </cell>
          <cell r="C14">
            <v>3907</v>
          </cell>
          <cell r="D14">
            <v>22.25</v>
          </cell>
        </row>
        <row r="15">
          <cell r="B15">
            <v>46670</v>
          </cell>
          <cell r="C15">
            <v>1382</v>
          </cell>
          <cell r="D15">
            <v>8.11</v>
          </cell>
        </row>
        <row r="16">
          <cell r="B16">
            <v>11329</v>
          </cell>
          <cell r="C16">
            <v>893</v>
          </cell>
          <cell r="D16">
            <v>2.46</v>
          </cell>
        </row>
        <row r="17">
          <cell r="B17">
            <v>22482</v>
          </cell>
          <cell r="C17">
            <v>1295</v>
          </cell>
          <cell r="D17">
            <v>8.19</v>
          </cell>
        </row>
        <row r="18">
          <cell r="B18">
            <v>24313</v>
          </cell>
          <cell r="C18">
            <v>337</v>
          </cell>
          <cell r="D18">
            <v>3.49</v>
          </cell>
        </row>
        <row r="19">
          <cell r="B19">
            <v>81748</v>
          </cell>
          <cell r="C19">
            <v>3011</v>
          </cell>
          <cell r="D19">
            <v>22.16</v>
          </cell>
        </row>
        <row r="20">
          <cell r="B20">
            <v>30635</v>
          </cell>
          <cell r="C20">
            <v>1670</v>
          </cell>
          <cell r="D20">
            <v>9.1199999999999992</v>
          </cell>
        </row>
        <row r="21">
          <cell r="B21">
            <v>18050</v>
          </cell>
          <cell r="C21">
            <v>629</v>
          </cell>
          <cell r="D21">
            <v>6.92</v>
          </cell>
        </row>
        <row r="22">
          <cell r="B22">
            <v>31280</v>
          </cell>
          <cell r="C22">
            <v>835</v>
          </cell>
          <cell r="D22">
            <v>3.5</v>
          </cell>
        </row>
        <row r="23">
          <cell r="B23">
            <v>1783</v>
          </cell>
          <cell r="C23">
            <v>-123</v>
          </cell>
          <cell r="D23">
            <v>2.62</v>
          </cell>
        </row>
        <row r="24">
          <cell r="B24">
            <v>461093</v>
          </cell>
          <cell r="C24">
            <v>11551</v>
          </cell>
          <cell r="D24">
            <v>116.46000000000001</v>
          </cell>
        </row>
        <row r="25">
          <cell r="B25">
            <v>87847</v>
          </cell>
          <cell r="C25">
            <v>1293</v>
          </cell>
          <cell r="D25">
            <v>28.75</v>
          </cell>
        </row>
        <row r="26">
          <cell r="B26">
            <v>42307</v>
          </cell>
          <cell r="C26">
            <v>64</v>
          </cell>
          <cell r="D26">
            <v>4.4800000000000004</v>
          </cell>
        </row>
        <row r="27">
          <cell r="B27">
            <v>9566</v>
          </cell>
          <cell r="C27">
            <v>-219</v>
          </cell>
          <cell r="D27">
            <v>9.36</v>
          </cell>
        </row>
        <row r="28">
          <cell r="B28">
            <v>5914</v>
          </cell>
          <cell r="C28">
            <v>1357</v>
          </cell>
          <cell r="D28">
            <v>6.19</v>
          </cell>
        </row>
        <row r="29">
          <cell r="B29">
            <v>30060</v>
          </cell>
          <cell r="C29">
            <v>91</v>
          </cell>
          <cell r="D29">
            <v>8.7200000000000006</v>
          </cell>
        </row>
        <row r="30">
          <cell r="B30">
            <v>79341</v>
          </cell>
          <cell r="C30">
            <v>3042</v>
          </cell>
          <cell r="D30">
            <v>18.190000000000001</v>
          </cell>
        </row>
        <row r="31">
          <cell r="B31">
            <v>38610</v>
          </cell>
          <cell r="C31">
            <v>309</v>
          </cell>
          <cell r="D31">
            <v>1.91</v>
          </cell>
        </row>
        <row r="32">
          <cell r="B32">
            <v>22728</v>
          </cell>
          <cell r="C32">
            <v>1672</v>
          </cell>
          <cell r="D32">
            <v>8.74</v>
          </cell>
        </row>
        <row r="33">
          <cell r="B33">
            <v>2932</v>
          </cell>
          <cell r="C33">
            <v>547</v>
          </cell>
          <cell r="D33">
            <v>4.66</v>
          </cell>
        </row>
        <row r="34">
          <cell r="B34">
            <v>15071</v>
          </cell>
          <cell r="C34">
            <v>514</v>
          </cell>
          <cell r="D34">
            <v>2.88</v>
          </cell>
        </row>
        <row r="35">
          <cell r="B35">
            <v>115027</v>
          </cell>
          <cell r="C35">
            <v>2270</v>
          </cell>
          <cell r="D35">
            <v>23.3</v>
          </cell>
        </row>
        <row r="36">
          <cell r="B36">
            <v>43420</v>
          </cell>
          <cell r="C36">
            <v>-164</v>
          </cell>
          <cell r="D36">
            <v>6.44</v>
          </cell>
        </row>
        <row r="37">
          <cell r="B37">
            <v>10740</v>
          </cell>
          <cell r="C37">
            <v>1845</v>
          </cell>
          <cell r="D37">
            <v>3.74</v>
          </cell>
        </row>
        <row r="38">
          <cell r="B38">
            <v>32393</v>
          </cell>
          <cell r="C38">
            <v>429</v>
          </cell>
          <cell r="D38">
            <v>8.56</v>
          </cell>
        </row>
        <row r="39">
          <cell r="B39">
            <v>28474</v>
          </cell>
          <cell r="C39">
            <v>160</v>
          </cell>
          <cell r="D39">
            <v>4.5599999999999996</v>
          </cell>
        </row>
        <row r="40">
          <cell r="B40">
            <v>102610</v>
          </cell>
          <cell r="C40">
            <v>2753</v>
          </cell>
          <cell r="D40">
            <v>26.599999999999998</v>
          </cell>
        </row>
        <row r="41">
          <cell r="B41">
            <v>26067</v>
          </cell>
          <cell r="C41">
            <v>961</v>
          </cell>
          <cell r="D41">
            <v>7.86</v>
          </cell>
        </row>
        <row r="42">
          <cell r="B42">
            <v>17328</v>
          </cell>
          <cell r="C42">
            <v>159</v>
          </cell>
          <cell r="D42">
            <v>7.88</v>
          </cell>
        </row>
        <row r="43">
          <cell r="B43">
            <v>32763</v>
          </cell>
          <cell r="C43">
            <v>1316</v>
          </cell>
          <cell r="D43">
            <v>5.34</v>
          </cell>
        </row>
        <row r="44">
          <cell r="B44">
            <v>26452</v>
          </cell>
          <cell r="C44">
            <v>317</v>
          </cell>
          <cell r="D44">
            <v>5.52</v>
          </cell>
        </row>
        <row r="45">
          <cell r="B45">
            <v>76268</v>
          </cell>
          <cell r="C45">
            <v>2193</v>
          </cell>
          <cell r="D45">
            <v>19.62</v>
          </cell>
        </row>
        <row r="46">
          <cell r="B46">
            <v>4839</v>
          </cell>
          <cell r="C46">
            <v>-318</v>
          </cell>
          <cell r="D46">
            <v>7.73</v>
          </cell>
        </row>
        <row r="47">
          <cell r="B47">
            <v>15353</v>
          </cell>
          <cell r="C47">
            <v>541</v>
          </cell>
          <cell r="D47">
            <v>4.05</v>
          </cell>
        </row>
        <row r="48">
          <cell r="B48">
            <v>39272</v>
          </cell>
          <cell r="C48">
            <v>1495</v>
          </cell>
          <cell r="D48">
            <v>4.3600000000000003</v>
          </cell>
        </row>
        <row r="49">
          <cell r="B49">
            <v>16804</v>
          </cell>
          <cell r="C49">
            <v>475</v>
          </cell>
          <cell r="D49">
            <v>3.48</v>
          </cell>
        </row>
        <row r="50">
          <cell r="B50">
            <v>439593</v>
          </cell>
          <cell r="C50">
            <v>10422</v>
          </cell>
          <cell r="D50">
            <v>105.63</v>
          </cell>
        </row>
        <row r="51">
          <cell r="B51">
            <v>137514</v>
          </cell>
          <cell r="C51">
            <v>802</v>
          </cell>
          <cell r="D51">
            <v>27.41</v>
          </cell>
        </row>
        <row r="52">
          <cell r="B52">
            <v>26455</v>
          </cell>
          <cell r="C52">
            <v>-197</v>
          </cell>
          <cell r="D52">
            <v>6.11</v>
          </cell>
        </row>
        <row r="53">
          <cell r="B53">
            <v>49303</v>
          </cell>
          <cell r="C53">
            <v>352</v>
          </cell>
          <cell r="D53">
            <v>7.83</v>
          </cell>
        </row>
        <row r="54">
          <cell r="B54">
            <v>12384</v>
          </cell>
          <cell r="C54">
            <v>328</v>
          </cell>
          <cell r="D54">
            <v>9.43</v>
          </cell>
        </row>
        <row r="55">
          <cell r="B55">
            <v>49372</v>
          </cell>
          <cell r="C55">
            <v>319</v>
          </cell>
          <cell r="D55">
            <v>4.04</v>
          </cell>
        </row>
        <row r="56">
          <cell r="B56">
            <v>125177</v>
          </cell>
          <cell r="C56">
            <v>3728</v>
          </cell>
          <cell r="D56">
            <v>26.21</v>
          </cell>
        </row>
        <row r="57">
          <cell r="B57">
            <v>37903</v>
          </cell>
          <cell r="C57">
            <v>1334</v>
          </cell>
          <cell r="D57">
            <v>6.01</v>
          </cell>
        </row>
        <row r="58">
          <cell r="B58">
            <v>47101</v>
          </cell>
          <cell r="C58">
            <v>1325</v>
          </cell>
          <cell r="D58">
            <v>6.23</v>
          </cell>
        </row>
        <row r="59">
          <cell r="B59">
            <v>33258</v>
          </cell>
          <cell r="C59">
            <v>37</v>
          </cell>
          <cell r="D59">
            <v>8.5500000000000007</v>
          </cell>
        </row>
        <row r="60">
          <cell r="B60">
            <v>6915</v>
          </cell>
          <cell r="C60">
            <v>1032</v>
          </cell>
          <cell r="D60">
            <v>5.42</v>
          </cell>
        </row>
        <row r="61">
          <cell r="B61">
            <v>82193</v>
          </cell>
          <cell r="C61">
            <v>2989</v>
          </cell>
          <cell r="D61">
            <v>25.52</v>
          </cell>
        </row>
        <row r="62">
          <cell r="B62">
            <v>14203</v>
          </cell>
          <cell r="C62">
            <v>1058</v>
          </cell>
          <cell r="D62">
            <v>8.84</v>
          </cell>
        </row>
        <row r="63">
          <cell r="B63">
            <v>35501</v>
          </cell>
          <cell r="C63">
            <v>76</v>
          </cell>
          <cell r="D63">
            <v>3.25</v>
          </cell>
        </row>
        <row r="64">
          <cell r="B64">
            <v>22206</v>
          </cell>
          <cell r="C64">
            <v>1665</v>
          </cell>
          <cell r="D64">
            <v>7.24</v>
          </cell>
        </row>
        <row r="65">
          <cell r="B65">
            <v>10283</v>
          </cell>
          <cell r="C65">
            <v>190</v>
          </cell>
          <cell r="D65">
            <v>6.19</v>
          </cell>
        </row>
        <row r="66">
          <cell r="B66">
            <v>94709</v>
          </cell>
          <cell r="C66">
            <v>2903</v>
          </cell>
          <cell r="D66">
            <v>26.490000000000002</v>
          </cell>
        </row>
        <row r="67">
          <cell r="B67">
            <v>26925</v>
          </cell>
          <cell r="C67">
            <v>37</v>
          </cell>
          <cell r="D67">
            <v>9.0399999999999991</v>
          </cell>
        </row>
        <row r="68">
          <cell r="B68">
            <v>24913</v>
          </cell>
          <cell r="C68">
            <v>1609</v>
          </cell>
          <cell r="D68">
            <v>5.71</v>
          </cell>
        </row>
        <row r="69">
          <cell r="B69">
            <v>9942</v>
          </cell>
          <cell r="C69">
            <v>1229</v>
          </cell>
          <cell r="D69">
            <v>3.91</v>
          </cell>
        </row>
        <row r="70">
          <cell r="B70">
            <v>32929</v>
          </cell>
          <cell r="C70">
            <v>28</v>
          </cell>
          <cell r="D70">
            <v>7.83</v>
          </cell>
        </row>
        <row r="71">
          <cell r="B71">
            <v>456377</v>
          </cell>
          <cell r="C71">
            <v>15234</v>
          </cell>
          <cell r="D71">
            <v>120.14</v>
          </cell>
        </row>
        <row r="72">
          <cell r="B72">
            <v>100656</v>
          </cell>
          <cell r="C72">
            <v>2822</v>
          </cell>
          <cell r="D72">
            <v>25.45</v>
          </cell>
        </row>
        <row r="73">
          <cell r="B73">
            <v>24384</v>
          </cell>
          <cell r="C73">
            <v>1045</v>
          </cell>
          <cell r="D73">
            <v>6.41</v>
          </cell>
        </row>
        <row r="74">
          <cell r="B74">
            <v>37829</v>
          </cell>
          <cell r="C74">
            <v>1247</v>
          </cell>
          <cell r="D74">
            <v>7.16</v>
          </cell>
        </row>
        <row r="75">
          <cell r="B75">
            <v>25797</v>
          </cell>
          <cell r="C75">
            <v>197</v>
          </cell>
          <cell r="D75">
            <v>8.02</v>
          </cell>
        </row>
        <row r="76">
          <cell r="B76">
            <v>12646</v>
          </cell>
          <cell r="C76">
            <v>333</v>
          </cell>
          <cell r="D76">
            <v>3.86</v>
          </cell>
        </row>
        <row r="77">
          <cell r="B77">
            <v>92834</v>
          </cell>
          <cell r="C77">
            <v>4360</v>
          </cell>
          <cell r="D77">
            <v>29.08</v>
          </cell>
        </row>
        <row r="78">
          <cell r="B78">
            <v>40478</v>
          </cell>
          <cell r="C78">
            <v>1428</v>
          </cell>
          <cell r="D78">
            <v>1.76</v>
          </cell>
        </row>
        <row r="79">
          <cell r="B79">
            <v>26663</v>
          </cell>
          <cell r="C79">
            <v>1572</v>
          </cell>
          <cell r="D79">
            <v>9.09</v>
          </cell>
        </row>
        <row r="80">
          <cell r="B80">
            <v>15476</v>
          </cell>
          <cell r="C80">
            <v>260</v>
          </cell>
          <cell r="D80">
            <v>9.24</v>
          </cell>
        </row>
        <row r="81">
          <cell r="B81">
            <v>10217</v>
          </cell>
          <cell r="C81">
            <v>1100</v>
          </cell>
          <cell r="D81">
            <v>8.99</v>
          </cell>
        </row>
        <row r="82">
          <cell r="B82">
            <v>105113</v>
          </cell>
          <cell r="C82">
            <v>1568</v>
          </cell>
          <cell r="D82">
            <v>24.689999999999998</v>
          </cell>
        </row>
        <row r="83">
          <cell r="B83">
            <v>47462</v>
          </cell>
          <cell r="C83">
            <v>98</v>
          </cell>
          <cell r="D83">
            <v>9.1999999999999993</v>
          </cell>
        </row>
        <row r="84">
          <cell r="B84">
            <v>21939</v>
          </cell>
          <cell r="C84">
            <v>377</v>
          </cell>
          <cell r="D84">
            <v>3.4</v>
          </cell>
        </row>
        <row r="85">
          <cell r="B85">
            <v>30270</v>
          </cell>
          <cell r="C85">
            <v>1125</v>
          </cell>
          <cell r="D85">
            <v>8.59</v>
          </cell>
        </row>
        <row r="86">
          <cell r="B86">
            <v>5442</v>
          </cell>
          <cell r="C86">
            <v>-32</v>
          </cell>
          <cell r="D86">
            <v>3.5</v>
          </cell>
        </row>
        <row r="87">
          <cell r="B87">
            <v>75885</v>
          </cell>
          <cell r="C87">
            <v>3333</v>
          </cell>
          <cell r="D87">
            <v>26.400000000000006</v>
          </cell>
        </row>
        <row r="88">
          <cell r="B88">
            <v>11901</v>
          </cell>
          <cell r="C88">
            <v>-19</v>
          </cell>
          <cell r="D88">
            <v>7.36</v>
          </cell>
        </row>
        <row r="89">
          <cell r="B89">
            <v>1083</v>
          </cell>
          <cell r="C89">
            <v>666</v>
          </cell>
          <cell r="D89">
            <v>2.36</v>
          </cell>
        </row>
        <row r="90">
          <cell r="B90">
            <v>24018</v>
          </cell>
          <cell r="C90">
            <v>1680</v>
          </cell>
          <cell r="D90">
            <v>8.5500000000000007</v>
          </cell>
        </row>
        <row r="91">
          <cell r="B91">
            <v>38883</v>
          </cell>
          <cell r="C91">
            <v>1006</v>
          </cell>
          <cell r="D91">
            <v>8.1300000000000008</v>
          </cell>
        </row>
        <row r="92">
          <cell r="B92">
            <v>81889</v>
          </cell>
          <cell r="C92">
            <v>3151</v>
          </cell>
          <cell r="D92">
            <v>14.52</v>
          </cell>
        </row>
        <row r="93">
          <cell r="B93">
            <v>2315</v>
          </cell>
          <cell r="C93">
            <v>-179</v>
          </cell>
          <cell r="D93">
            <v>1.77</v>
          </cell>
        </row>
        <row r="94">
          <cell r="B94">
            <v>30575</v>
          </cell>
          <cell r="C94">
            <v>1025</v>
          </cell>
          <cell r="D94">
            <v>3.3</v>
          </cell>
        </row>
        <row r="95">
          <cell r="B95">
            <v>12148</v>
          </cell>
          <cell r="C95">
            <v>599</v>
          </cell>
          <cell r="D95">
            <v>2.09</v>
          </cell>
        </row>
        <row r="96">
          <cell r="B96">
            <v>36851</v>
          </cell>
          <cell r="C96">
            <v>1706</v>
          </cell>
          <cell r="D96">
            <v>7.36</v>
          </cell>
        </row>
        <row r="97">
          <cell r="B97">
            <v>447611</v>
          </cell>
          <cell r="C97">
            <v>11092</v>
          </cell>
          <cell r="D97">
            <v>83.319999999999979</v>
          </cell>
        </row>
        <row r="98">
          <cell r="B98">
            <v>117382</v>
          </cell>
          <cell r="C98">
            <v>3759</v>
          </cell>
          <cell r="D98">
            <v>22.27</v>
          </cell>
        </row>
        <row r="99">
          <cell r="B99">
            <v>43836</v>
          </cell>
          <cell r="C99">
            <v>1662</v>
          </cell>
          <cell r="D99">
            <v>1.75</v>
          </cell>
        </row>
        <row r="100">
          <cell r="B100">
            <v>41215</v>
          </cell>
          <cell r="C100">
            <v>1872</v>
          </cell>
          <cell r="D100">
            <v>6.25</v>
          </cell>
        </row>
        <row r="101">
          <cell r="B101">
            <v>4509</v>
          </cell>
          <cell r="C101">
            <v>107</v>
          </cell>
          <cell r="D101">
            <v>4.97</v>
          </cell>
        </row>
        <row r="102">
          <cell r="B102">
            <v>27822</v>
          </cell>
          <cell r="C102">
            <v>118</v>
          </cell>
          <cell r="D102">
            <v>9.3000000000000007</v>
          </cell>
        </row>
        <row r="103">
          <cell r="B103">
            <v>83598</v>
          </cell>
          <cell r="C103">
            <v>1856</v>
          </cell>
          <cell r="D103">
            <v>20.21</v>
          </cell>
        </row>
        <row r="104">
          <cell r="B104">
            <v>7285</v>
          </cell>
          <cell r="C104">
            <v>285</v>
          </cell>
          <cell r="D104">
            <v>3.88</v>
          </cell>
        </row>
        <row r="105">
          <cell r="B105">
            <v>36397</v>
          </cell>
          <cell r="C105">
            <v>1224</v>
          </cell>
          <cell r="D105">
            <v>8.9</v>
          </cell>
        </row>
        <row r="106">
          <cell r="B106">
            <v>33174</v>
          </cell>
          <cell r="C106">
            <v>-20</v>
          </cell>
          <cell r="D106">
            <v>5.9</v>
          </cell>
        </row>
        <row r="107">
          <cell r="B107">
            <v>6742</v>
          </cell>
          <cell r="C107">
            <v>367</v>
          </cell>
          <cell r="D107">
            <v>1.53</v>
          </cell>
        </row>
        <row r="108">
          <cell r="B108">
            <v>140831</v>
          </cell>
          <cell r="C108">
            <v>2821</v>
          </cell>
          <cell r="D108">
            <v>23.32</v>
          </cell>
        </row>
        <row r="109">
          <cell r="B109">
            <v>42824</v>
          </cell>
          <cell r="C109">
            <v>439</v>
          </cell>
          <cell r="D109">
            <v>3.16</v>
          </cell>
        </row>
        <row r="110">
          <cell r="B110">
            <v>32478</v>
          </cell>
          <cell r="C110">
            <v>262</v>
          </cell>
          <cell r="D110">
            <v>6.5</v>
          </cell>
        </row>
        <row r="111">
          <cell r="B111">
            <v>21208</v>
          </cell>
          <cell r="C111">
            <v>636</v>
          </cell>
          <cell r="D111">
            <v>8.25</v>
          </cell>
        </row>
        <row r="112">
          <cell r="B112">
            <v>44321</v>
          </cell>
          <cell r="C112">
            <v>1484</v>
          </cell>
          <cell r="D112">
            <v>5.41</v>
          </cell>
        </row>
        <row r="113">
          <cell r="B113">
            <v>105800</v>
          </cell>
          <cell r="C113">
            <v>2656</v>
          </cell>
          <cell r="D113">
            <v>17.519999999999996</v>
          </cell>
        </row>
        <row r="114">
          <cell r="B114">
            <v>30214</v>
          </cell>
          <cell r="C114">
            <v>386</v>
          </cell>
          <cell r="D114">
            <v>4.46</v>
          </cell>
        </row>
        <row r="115">
          <cell r="B115">
            <v>13116</v>
          </cell>
          <cell r="C115">
            <v>576</v>
          </cell>
          <cell r="D115">
            <v>5.85</v>
          </cell>
        </row>
        <row r="116">
          <cell r="B116">
            <v>15827</v>
          </cell>
          <cell r="C116">
            <v>37</v>
          </cell>
          <cell r="D116">
            <v>5.22</v>
          </cell>
        </row>
        <row r="117">
          <cell r="B117">
            <v>46643</v>
          </cell>
          <cell r="C117">
            <v>1657</v>
          </cell>
          <cell r="D117">
            <v>1.99</v>
          </cell>
        </row>
        <row r="118">
          <cell r="B118">
            <v>424987</v>
          </cell>
          <cell r="C118">
            <v>11415</v>
          </cell>
          <cell r="D118">
            <v>92.77000000000001</v>
          </cell>
        </row>
        <row r="119">
          <cell r="B119">
            <v>94018</v>
          </cell>
          <cell r="C119">
            <v>4584</v>
          </cell>
          <cell r="D119">
            <v>21.93</v>
          </cell>
        </row>
        <row r="120">
          <cell r="B120">
            <v>4996</v>
          </cell>
          <cell r="C120">
            <v>540</v>
          </cell>
          <cell r="D120">
            <v>3.32</v>
          </cell>
        </row>
        <row r="121">
          <cell r="B121">
            <v>36484</v>
          </cell>
          <cell r="C121">
            <v>1397</v>
          </cell>
          <cell r="D121">
            <v>6.85</v>
          </cell>
        </row>
        <row r="122">
          <cell r="B122">
            <v>36095</v>
          </cell>
          <cell r="C122">
            <v>1603</v>
          </cell>
          <cell r="D122">
            <v>5.68</v>
          </cell>
        </row>
        <row r="123">
          <cell r="B123">
            <v>16443</v>
          </cell>
          <cell r="C123">
            <v>1044</v>
          </cell>
          <cell r="D123">
            <v>6.08</v>
          </cell>
        </row>
        <row r="124">
          <cell r="B124">
            <v>125961</v>
          </cell>
          <cell r="C124">
            <v>2295</v>
          </cell>
          <cell r="D124">
            <v>23.79</v>
          </cell>
        </row>
        <row r="125">
          <cell r="B125">
            <v>38452</v>
          </cell>
          <cell r="C125">
            <v>-106</v>
          </cell>
          <cell r="D125">
            <v>8.6999999999999993</v>
          </cell>
        </row>
        <row r="126">
          <cell r="B126">
            <v>47812</v>
          </cell>
          <cell r="C126">
            <v>902</v>
          </cell>
          <cell r="D126">
            <v>4.66</v>
          </cell>
        </row>
        <row r="127">
          <cell r="B127">
            <v>30428</v>
          </cell>
          <cell r="C127">
            <v>1150</v>
          </cell>
          <cell r="D127">
            <v>2.46</v>
          </cell>
        </row>
        <row r="128">
          <cell r="B128">
            <v>9269</v>
          </cell>
          <cell r="C128">
            <v>349</v>
          </cell>
          <cell r="D128">
            <v>7.97</v>
          </cell>
        </row>
        <row r="129">
          <cell r="B129">
            <v>97294</v>
          </cell>
          <cell r="C129">
            <v>528</v>
          </cell>
          <cell r="D129">
            <v>24.09</v>
          </cell>
        </row>
        <row r="130">
          <cell r="B130">
            <v>39997</v>
          </cell>
          <cell r="C130">
            <v>72</v>
          </cell>
          <cell r="D130">
            <v>2.68</v>
          </cell>
        </row>
        <row r="131">
          <cell r="B131">
            <v>29533</v>
          </cell>
          <cell r="C131">
            <v>-49</v>
          </cell>
          <cell r="D131">
            <v>9.41</v>
          </cell>
        </row>
        <row r="132">
          <cell r="B132">
            <v>5391</v>
          </cell>
          <cell r="C132">
            <v>445</v>
          </cell>
          <cell r="D132">
            <v>7.32</v>
          </cell>
        </row>
        <row r="133">
          <cell r="B133">
            <v>22373</v>
          </cell>
          <cell r="C133">
            <v>60</v>
          </cell>
          <cell r="D133">
            <v>4.68</v>
          </cell>
        </row>
        <row r="134">
          <cell r="B134">
            <v>107714</v>
          </cell>
          <cell r="C134">
            <v>4008</v>
          </cell>
          <cell r="D134">
            <v>22.96</v>
          </cell>
        </row>
        <row r="135">
          <cell r="B135">
            <v>28498</v>
          </cell>
          <cell r="C135">
            <v>1332</v>
          </cell>
          <cell r="D135">
            <v>6.2</v>
          </cell>
        </row>
        <row r="136">
          <cell r="B136">
            <v>1810</v>
          </cell>
          <cell r="C136">
            <v>1693</v>
          </cell>
          <cell r="D136">
            <v>5.17</v>
          </cell>
        </row>
        <row r="137">
          <cell r="B137">
            <v>39530</v>
          </cell>
          <cell r="C137">
            <v>98</v>
          </cell>
          <cell r="D137">
            <v>2.69</v>
          </cell>
        </row>
        <row r="138">
          <cell r="B138">
            <v>37876</v>
          </cell>
          <cell r="C138">
            <v>885</v>
          </cell>
          <cell r="D138">
            <v>8.9</v>
          </cell>
        </row>
        <row r="139">
          <cell r="B139">
            <v>497782</v>
          </cell>
          <cell r="C139">
            <v>25075</v>
          </cell>
          <cell r="D139">
            <v>97.79</v>
          </cell>
        </row>
        <row r="140">
          <cell r="B140">
            <v>106549</v>
          </cell>
          <cell r="C140">
            <v>4795</v>
          </cell>
          <cell r="D140">
            <v>17.599999999999998</v>
          </cell>
        </row>
        <row r="141">
          <cell r="B141">
            <v>26103</v>
          </cell>
          <cell r="C141">
            <v>1706</v>
          </cell>
          <cell r="D141">
            <v>4.79</v>
          </cell>
        </row>
        <row r="142">
          <cell r="B142">
            <v>36103</v>
          </cell>
          <cell r="C142">
            <v>1625</v>
          </cell>
          <cell r="D142">
            <v>3.79</v>
          </cell>
        </row>
        <row r="143">
          <cell r="B143">
            <v>3455</v>
          </cell>
          <cell r="C143">
            <v>1173</v>
          </cell>
          <cell r="D143">
            <v>6.37</v>
          </cell>
        </row>
        <row r="144">
          <cell r="B144">
            <v>40888</v>
          </cell>
          <cell r="C144">
            <v>291</v>
          </cell>
          <cell r="D144">
            <v>2.65</v>
          </cell>
        </row>
        <row r="145">
          <cell r="B145">
            <v>108811</v>
          </cell>
          <cell r="C145">
            <v>4792</v>
          </cell>
          <cell r="D145">
            <v>18.91</v>
          </cell>
        </row>
        <row r="146">
          <cell r="B146">
            <v>18601</v>
          </cell>
          <cell r="C146">
            <v>1373</v>
          </cell>
          <cell r="D146">
            <v>7.47</v>
          </cell>
        </row>
        <row r="147">
          <cell r="B147">
            <v>22724</v>
          </cell>
          <cell r="C147">
            <v>1119</v>
          </cell>
          <cell r="D147">
            <v>1.81</v>
          </cell>
        </row>
        <row r="148">
          <cell r="B148">
            <v>20861</v>
          </cell>
          <cell r="C148">
            <v>1727</v>
          </cell>
          <cell r="D148">
            <v>4.2</v>
          </cell>
        </row>
        <row r="149">
          <cell r="B149">
            <v>46625</v>
          </cell>
          <cell r="C149">
            <v>573</v>
          </cell>
          <cell r="D149">
            <v>5.43</v>
          </cell>
        </row>
        <row r="150">
          <cell r="B150">
            <v>102222</v>
          </cell>
          <cell r="C150">
            <v>5044</v>
          </cell>
          <cell r="D150">
            <v>26.18</v>
          </cell>
        </row>
        <row r="151">
          <cell r="B151">
            <v>18656</v>
          </cell>
          <cell r="C151">
            <v>1377</v>
          </cell>
          <cell r="D151">
            <v>8.11</v>
          </cell>
        </row>
        <row r="152">
          <cell r="B152">
            <v>20692</v>
          </cell>
          <cell r="C152">
            <v>1432</v>
          </cell>
          <cell r="D152">
            <v>3.32</v>
          </cell>
        </row>
        <row r="153">
          <cell r="B153">
            <v>13316</v>
          </cell>
          <cell r="C153">
            <v>1359</v>
          </cell>
          <cell r="D153">
            <v>6.66</v>
          </cell>
        </row>
        <row r="154">
          <cell r="B154">
            <v>49558</v>
          </cell>
          <cell r="C154">
            <v>876</v>
          </cell>
          <cell r="D154">
            <v>8.09</v>
          </cell>
        </row>
        <row r="155">
          <cell r="B155">
            <v>101698</v>
          </cell>
          <cell r="C155">
            <v>3914</v>
          </cell>
          <cell r="D155">
            <v>21.09</v>
          </cell>
        </row>
        <row r="156">
          <cell r="B156">
            <v>47502</v>
          </cell>
          <cell r="C156">
            <v>730</v>
          </cell>
          <cell r="D156">
            <v>2.02</v>
          </cell>
        </row>
        <row r="157">
          <cell r="B157">
            <v>4683</v>
          </cell>
          <cell r="C157">
            <v>684</v>
          </cell>
          <cell r="D157">
            <v>8.44</v>
          </cell>
        </row>
        <row r="158">
          <cell r="B158">
            <v>35359</v>
          </cell>
          <cell r="C158">
            <v>911</v>
          </cell>
          <cell r="D158">
            <v>7.74</v>
          </cell>
        </row>
        <row r="159">
          <cell r="B159">
            <v>14154</v>
          </cell>
          <cell r="C159">
            <v>1589</v>
          </cell>
          <cell r="D159">
            <v>2.89</v>
          </cell>
        </row>
        <row r="160">
          <cell r="B160">
            <v>78502</v>
          </cell>
          <cell r="C160">
            <v>6530</v>
          </cell>
          <cell r="D160">
            <v>14.01</v>
          </cell>
        </row>
        <row r="161">
          <cell r="B161">
            <v>25140</v>
          </cell>
          <cell r="C161">
            <v>1776</v>
          </cell>
          <cell r="D161">
            <v>3.09</v>
          </cell>
        </row>
        <row r="162">
          <cell r="B162">
            <v>4313</v>
          </cell>
          <cell r="C162">
            <v>1765</v>
          </cell>
          <cell r="D162">
            <v>1.76</v>
          </cell>
        </row>
        <row r="163">
          <cell r="B163">
            <v>9118</v>
          </cell>
          <cell r="C163">
            <v>1529</v>
          </cell>
          <cell r="D163">
            <v>4.68</v>
          </cell>
        </row>
        <row r="164">
          <cell r="B164">
            <v>39931</v>
          </cell>
          <cell r="C164">
            <v>1460</v>
          </cell>
          <cell r="D164">
            <v>4.4800000000000004</v>
          </cell>
        </row>
        <row r="165">
          <cell r="B165">
            <v>1798077</v>
          </cell>
          <cell r="C165">
            <v>61864</v>
          </cell>
          <cell r="D165">
            <v>424.37000000000006</v>
          </cell>
        </row>
        <row r="166">
          <cell r="B166">
            <v>415663</v>
          </cell>
          <cell r="C166">
            <v>13331</v>
          </cell>
          <cell r="D166">
            <v>83.800000000000011</v>
          </cell>
        </row>
        <row r="167">
          <cell r="B167">
            <v>72926</v>
          </cell>
          <cell r="C167">
            <v>3557</v>
          </cell>
          <cell r="D167">
            <v>24.05</v>
          </cell>
        </row>
        <row r="168">
          <cell r="B168">
            <v>17951</v>
          </cell>
          <cell r="C168">
            <v>620</v>
          </cell>
          <cell r="D168">
            <v>8.1999999999999993</v>
          </cell>
        </row>
        <row r="169">
          <cell r="B169">
            <v>37132</v>
          </cell>
          <cell r="C169">
            <v>903</v>
          </cell>
          <cell r="D169">
            <v>5.3</v>
          </cell>
        </row>
        <row r="170">
          <cell r="B170">
            <v>2798</v>
          </cell>
          <cell r="C170">
            <v>1188</v>
          </cell>
          <cell r="D170">
            <v>2.2200000000000002</v>
          </cell>
        </row>
        <row r="171">
          <cell r="B171">
            <v>15045</v>
          </cell>
          <cell r="C171">
            <v>846</v>
          </cell>
          <cell r="D171">
            <v>8.33</v>
          </cell>
        </row>
        <row r="172">
          <cell r="B172">
            <v>113474</v>
          </cell>
          <cell r="C172">
            <v>2777</v>
          </cell>
          <cell r="D172">
            <v>14.760000000000002</v>
          </cell>
        </row>
        <row r="173">
          <cell r="B173">
            <v>45708</v>
          </cell>
          <cell r="C173">
            <v>298</v>
          </cell>
          <cell r="D173">
            <v>5.61</v>
          </cell>
        </row>
        <row r="174">
          <cell r="B174">
            <v>14548</v>
          </cell>
          <cell r="C174">
            <v>1722</v>
          </cell>
          <cell r="D174">
            <v>3.3</v>
          </cell>
        </row>
        <row r="175">
          <cell r="B175">
            <v>12350</v>
          </cell>
          <cell r="C175">
            <v>-144</v>
          </cell>
          <cell r="D175">
            <v>2.56</v>
          </cell>
        </row>
        <row r="176">
          <cell r="B176">
            <v>40868</v>
          </cell>
          <cell r="C176">
            <v>901</v>
          </cell>
          <cell r="D176">
            <v>3.29</v>
          </cell>
        </row>
        <row r="177">
          <cell r="B177">
            <v>120060</v>
          </cell>
          <cell r="C177">
            <v>3614</v>
          </cell>
          <cell r="D177">
            <v>23.66</v>
          </cell>
        </row>
        <row r="178">
          <cell r="B178">
            <v>23853</v>
          </cell>
          <cell r="C178">
            <v>427</v>
          </cell>
          <cell r="D178">
            <v>4.51</v>
          </cell>
        </row>
        <row r="179">
          <cell r="B179">
            <v>43122</v>
          </cell>
          <cell r="C179">
            <v>1572</v>
          </cell>
          <cell r="D179">
            <v>9.24</v>
          </cell>
        </row>
        <row r="180">
          <cell r="B180">
            <v>45380</v>
          </cell>
          <cell r="C180">
            <v>891</v>
          </cell>
          <cell r="D180">
            <v>5.23</v>
          </cell>
        </row>
        <row r="181">
          <cell r="B181">
            <v>7705</v>
          </cell>
          <cell r="C181">
            <v>724</v>
          </cell>
          <cell r="D181">
            <v>4.68</v>
          </cell>
        </row>
        <row r="182">
          <cell r="B182">
            <v>109203</v>
          </cell>
          <cell r="C182">
            <v>3383</v>
          </cell>
          <cell r="D182">
            <v>21.33</v>
          </cell>
        </row>
        <row r="183">
          <cell r="B183">
            <v>20560</v>
          </cell>
          <cell r="C183">
            <v>898</v>
          </cell>
          <cell r="D183">
            <v>6.37</v>
          </cell>
        </row>
        <row r="184">
          <cell r="B184">
            <v>25525</v>
          </cell>
          <cell r="C184">
            <v>-166</v>
          </cell>
          <cell r="D184">
            <v>9.23</v>
          </cell>
        </row>
        <row r="185">
          <cell r="B185">
            <v>19119</v>
          </cell>
          <cell r="C185">
            <v>1426</v>
          </cell>
          <cell r="D185">
            <v>2.0099999999999998</v>
          </cell>
        </row>
        <row r="186">
          <cell r="B186">
            <v>43999</v>
          </cell>
          <cell r="C186">
            <v>1225</v>
          </cell>
          <cell r="D186">
            <v>3.72</v>
          </cell>
        </row>
        <row r="187">
          <cell r="B187">
            <v>468364</v>
          </cell>
          <cell r="C187">
            <v>15974</v>
          </cell>
          <cell r="D187">
            <v>103.33999999999999</v>
          </cell>
        </row>
        <row r="188">
          <cell r="B188">
            <v>117419</v>
          </cell>
          <cell r="C188">
            <v>2194</v>
          </cell>
          <cell r="D188">
            <v>29.02</v>
          </cell>
        </row>
        <row r="189">
          <cell r="B189">
            <v>40323</v>
          </cell>
          <cell r="C189">
            <v>748</v>
          </cell>
          <cell r="D189">
            <v>8.6999999999999993</v>
          </cell>
        </row>
        <row r="190">
          <cell r="B190">
            <v>10825</v>
          </cell>
          <cell r="C190">
            <v>1080</v>
          </cell>
          <cell r="D190">
            <v>3.89</v>
          </cell>
        </row>
        <row r="191">
          <cell r="B191">
            <v>48270</v>
          </cell>
          <cell r="C191">
            <v>569</v>
          </cell>
          <cell r="D191">
            <v>6.95</v>
          </cell>
        </row>
        <row r="192">
          <cell r="B192">
            <v>18001</v>
          </cell>
          <cell r="C192">
            <v>-203</v>
          </cell>
          <cell r="D192">
            <v>9.48</v>
          </cell>
        </row>
        <row r="193">
          <cell r="B193">
            <v>94129</v>
          </cell>
          <cell r="C193">
            <v>5281</v>
          </cell>
          <cell r="D193">
            <v>28.660000000000004</v>
          </cell>
        </row>
        <row r="194">
          <cell r="B194">
            <v>23489</v>
          </cell>
          <cell r="C194">
            <v>912</v>
          </cell>
          <cell r="D194">
            <v>8.0299999999999994</v>
          </cell>
        </row>
        <row r="195">
          <cell r="B195">
            <v>3314</v>
          </cell>
          <cell r="C195">
            <v>1723</v>
          </cell>
          <cell r="D195">
            <v>4.6100000000000003</v>
          </cell>
        </row>
        <row r="196">
          <cell r="B196">
            <v>42832</v>
          </cell>
          <cell r="C196">
            <v>1202</v>
          </cell>
          <cell r="D196">
            <v>6.99</v>
          </cell>
        </row>
        <row r="197">
          <cell r="B197">
            <v>24494</v>
          </cell>
          <cell r="C197">
            <v>1444</v>
          </cell>
          <cell r="D197">
            <v>9.0299999999999994</v>
          </cell>
        </row>
        <row r="198">
          <cell r="B198">
            <v>136582</v>
          </cell>
          <cell r="C198">
            <v>3693</v>
          </cell>
          <cell r="D198">
            <v>23.09</v>
          </cell>
        </row>
        <row r="199">
          <cell r="B199">
            <v>31853</v>
          </cell>
          <cell r="C199">
            <v>1590</v>
          </cell>
          <cell r="D199">
            <v>3.85</v>
          </cell>
        </row>
        <row r="200">
          <cell r="B200">
            <v>44097</v>
          </cell>
          <cell r="C200">
            <v>965</v>
          </cell>
          <cell r="D200">
            <v>2.86</v>
          </cell>
        </row>
        <row r="201">
          <cell r="B201">
            <v>37636</v>
          </cell>
          <cell r="C201">
            <v>-37</v>
          </cell>
          <cell r="D201">
            <v>7.3</v>
          </cell>
        </row>
        <row r="202">
          <cell r="B202">
            <v>22996</v>
          </cell>
          <cell r="C202">
            <v>1175</v>
          </cell>
          <cell r="D202">
            <v>9.08</v>
          </cell>
        </row>
        <row r="203">
          <cell r="B203">
            <v>120234</v>
          </cell>
          <cell r="C203">
            <v>4806</v>
          </cell>
          <cell r="D203">
            <v>22.57</v>
          </cell>
        </row>
        <row r="204">
          <cell r="B204">
            <v>22713</v>
          </cell>
          <cell r="C204">
            <v>1707</v>
          </cell>
          <cell r="D204">
            <v>7.8</v>
          </cell>
        </row>
        <row r="205">
          <cell r="B205">
            <v>49772</v>
          </cell>
          <cell r="C205">
            <v>1375</v>
          </cell>
          <cell r="D205">
            <v>4.34</v>
          </cell>
        </row>
        <row r="206">
          <cell r="B206">
            <v>8718</v>
          </cell>
          <cell r="C206">
            <v>708</v>
          </cell>
          <cell r="D206">
            <v>3.85</v>
          </cell>
        </row>
        <row r="207">
          <cell r="B207">
            <v>39031</v>
          </cell>
          <cell r="C207">
            <v>1016</v>
          </cell>
          <cell r="D207">
            <v>6.58</v>
          </cell>
        </row>
        <row r="208">
          <cell r="B208">
            <v>423771</v>
          </cell>
          <cell r="C208">
            <v>16078</v>
          </cell>
          <cell r="D208">
            <v>127.28</v>
          </cell>
        </row>
        <row r="209">
          <cell r="B209">
            <v>95341</v>
          </cell>
          <cell r="C209">
            <v>2410</v>
          </cell>
          <cell r="D209">
            <v>30.9</v>
          </cell>
        </row>
        <row r="210">
          <cell r="B210">
            <v>20553</v>
          </cell>
          <cell r="C210">
            <v>-119</v>
          </cell>
          <cell r="D210">
            <v>4.55</v>
          </cell>
        </row>
        <row r="211">
          <cell r="B211">
            <v>33799</v>
          </cell>
          <cell r="C211">
            <v>1315</v>
          </cell>
          <cell r="D211">
            <v>8.6199999999999992</v>
          </cell>
        </row>
        <row r="212">
          <cell r="B212">
            <v>10002</v>
          </cell>
          <cell r="C212">
            <v>899</v>
          </cell>
          <cell r="D212">
            <v>8.33</v>
          </cell>
        </row>
        <row r="213">
          <cell r="B213">
            <v>30987</v>
          </cell>
          <cell r="C213">
            <v>315</v>
          </cell>
          <cell r="D213">
            <v>9.4</v>
          </cell>
        </row>
        <row r="214">
          <cell r="B214">
            <v>53940</v>
          </cell>
          <cell r="C214">
            <v>3712</v>
          </cell>
          <cell r="D214">
            <v>27.85</v>
          </cell>
        </row>
        <row r="215">
          <cell r="B215">
            <v>21539</v>
          </cell>
          <cell r="C215">
            <v>908</v>
          </cell>
          <cell r="D215">
            <v>9.39</v>
          </cell>
        </row>
        <row r="216">
          <cell r="B216">
            <v>6296</v>
          </cell>
          <cell r="C216">
            <v>212</v>
          </cell>
          <cell r="D216">
            <v>7.23</v>
          </cell>
        </row>
        <row r="217">
          <cell r="B217">
            <v>14722</v>
          </cell>
          <cell r="C217">
            <v>1350</v>
          </cell>
          <cell r="D217">
            <v>5.12</v>
          </cell>
        </row>
        <row r="218">
          <cell r="B218">
            <v>11383</v>
          </cell>
          <cell r="C218">
            <v>1242</v>
          </cell>
          <cell r="D218">
            <v>6.11</v>
          </cell>
        </row>
        <row r="219">
          <cell r="B219">
            <v>88465</v>
          </cell>
          <cell r="C219">
            <v>4042</v>
          </cell>
          <cell r="D219">
            <v>23.12</v>
          </cell>
        </row>
        <row r="220">
          <cell r="B220">
            <v>29116</v>
          </cell>
          <cell r="C220">
            <v>1116</v>
          </cell>
          <cell r="D220">
            <v>4.9400000000000004</v>
          </cell>
        </row>
        <row r="221">
          <cell r="B221">
            <v>9480</v>
          </cell>
          <cell r="C221">
            <v>680</v>
          </cell>
          <cell r="D221">
            <v>7.74</v>
          </cell>
        </row>
        <row r="222">
          <cell r="B222">
            <v>14068</v>
          </cell>
          <cell r="C222">
            <v>861</v>
          </cell>
          <cell r="D222">
            <v>1.8</v>
          </cell>
        </row>
        <row r="223">
          <cell r="B223">
            <v>35801</v>
          </cell>
          <cell r="C223">
            <v>1385</v>
          </cell>
          <cell r="D223">
            <v>8.64</v>
          </cell>
        </row>
        <row r="224">
          <cell r="B224">
            <v>111650</v>
          </cell>
          <cell r="C224">
            <v>1616</v>
          </cell>
          <cell r="D224">
            <v>17.45</v>
          </cell>
        </row>
        <row r="225">
          <cell r="B225">
            <v>21453</v>
          </cell>
          <cell r="C225">
            <v>474</v>
          </cell>
          <cell r="D225">
            <v>8.52</v>
          </cell>
        </row>
        <row r="226">
          <cell r="B226">
            <v>49077</v>
          </cell>
          <cell r="C226">
            <v>461</v>
          </cell>
          <cell r="D226">
            <v>1.53</v>
          </cell>
        </row>
        <row r="227">
          <cell r="B227">
            <v>21061</v>
          </cell>
          <cell r="C227">
            <v>292</v>
          </cell>
          <cell r="D227">
            <v>5.53</v>
          </cell>
        </row>
        <row r="228">
          <cell r="B228">
            <v>20059</v>
          </cell>
          <cell r="C228">
            <v>389</v>
          </cell>
          <cell r="D228">
            <v>1.87</v>
          </cell>
        </row>
        <row r="229">
          <cell r="B229">
            <v>74375</v>
          </cell>
          <cell r="C229">
            <v>4298</v>
          </cell>
          <cell r="D229">
            <v>27.96</v>
          </cell>
        </row>
        <row r="230">
          <cell r="B230">
            <v>23461</v>
          </cell>
          <cell r="C230">
            <v>514</v>
          </cell>
          <cell r="D230">
            <v>9.4600000000000009</v>
          </cell>
        </row>
        <row r="231">
          <cell r="B231">
            <v>23140</v>
          </cell>
          <cell r="C231">
            <v>641</v>
          </cell>
          <cell r="D231">
            <v>6.27</v>
          </cell>
        </row>
        <row r="232">
          <cell r="B232">
            <v>11805</v>
          </cell>
          <cell r="C232">
            <v>1676</v>
          </cell>
          <cell r="D232">
            <v>7.5</v>
          </cell>
        </row>
        <row r="233">
          <cell r="B233">
            <v>15969</v>
          </cell>
          <cell r="C233">
            <v>1467</v>
          </cell>
          <cell r="D233">
            <v>4.7300000000000004</v>
          </cell>
        </row>
        <row r="234">
          <cell r="B234">
            <v>299166</v>
          </cell>
          <cell r="C234">
            <v>9892</v>
          </cell>
          <cell r="D234">
            <v>69.309999999999988</v>
          </cell>
        </row>
        <row r="235">
          <cell r="B235">
            <v>132926</v>
          </cell>
          <cell r="C235">
            <v>2412</v>
          </cell>
          <cell r="D235">
            <v>16.670000000000002</v>
          </cell>
        </row>
        <row r="236">
          <cell r="B236">
            <v>47603</v>
          </cell>
          <cell r="C236">
            <v>1029</v>
          </cell>
          <cell r="D236">
            <v>2.4900000000000002</v>
          </cell>
        </row>
        <row r="237">
          <cell r="B237">
            <v>2436</v>
          </cell>
          <cell r="C237">
            <v>167</v>
          </cell>
          <cell r="D237">
            <v>3.19</v>
          </cell>
        </row>
        <row r="238">
          <cell r="B238">
            <v>42964</v>
          </cell>
          <cell r="C238">
            <v>1007</v>
          </cell>
          <cell r="D238">
            <v>4.5</v>
          </cell>
        </row>
        <row r="239">
          <cell r="B239">
            <v>39923</v>
          </cell>
          <cell r="C239">
            <v>209</v>
          </cell>
          <cell r="D239">
            <v>6.49</v>
          </cell>
        </row>
        <row r="240">
          <cell r="B240">
            <v>59981</v>
          </cell>
          <cell r="C240">
            <v>-137</v>
          </cell>
          <cell r="D240">
            <v>23.4</v>
          </cell>
        </row>
        <row r="241">
          <cell r="B241">
            <v>25920</v>
          </cell>
          <cell r="C241">
            <v>-175</v>
          </cell>
          <cell r="D241">
            <v>4.83</v>
          </cell>
        </row>
        <row r="242">
          <cell r="B242">
            <v>2293</v>
          </cell>
          <cell r="C242">
            <v>-160</v>
          </cell>
          <cell r="D242">
            <v>6.73</v>
          </cell>
        </row>
        <row r="243">
          <cell r="B243">
            <v>11035</v>
          </cell>
          <cell r="C243">
            <v>53</v>
          </cell>
          <cell r="D243">
            <v>5.3</v>
          </cell>
        </row>
        <row r="244">
          <cell r="B244">
            <v>20733</v>
          </cell>
          <cell r="C244">
            <v>145</v>
          </cell>
          <cell r="D244">
            <v>6.54</v>
          </cell>
        </row>
        <row r="245">
          <cell r="B245">
            <v>49129</v>
          </cell>
          <cell r="C245">
            <v>4040</v>
          </cell>
          <cell r="D245">
            <v>14.93</v>
          </cell>
        </row>
        <row r="246">
          <cell r="B246">
            <v>7875</v>
          </cell>
          <cell r="C246">
            <v>1045</v>
          </cell>
          <cell r="D246">
            <v>2.6</v>
          </cell>
        </row>
        <row r="247">
          <cell r="B247">
            <v>18693</v>
          </cell>
          <cell r="C247">
            <v>603</v>
          </cell>
          <cell r="D247">
            <v>6.8</v>
          </cell>
        </row>
        <row r="248">
          <cell r="B248">
            <v>8471</v>
          </cell>
          <cell r="C248">
            <v>759</v>
          </cell>
          <cell r="D248">
            <v>2.44</v>
          </cell>
        </row>
        <row r="249">
          <cell r="B249">
            <v>14090</v>
          </cell>
          <cell r="C249">
            <v>1633</v>
          </cell>
          <cell r="D249">
            <v>3.09</v>
          </cell>
        </row>
        <row r="250">
          <cell r="B250">
            <v>57130</v>
          </cell>
          <cell r="C250">
            <v>3577</v>
          </cell>
          <cell r="D250">
            <v>14.31</v>
          </cell>
        </row>
        <row r="251">
          <cell r="B251">
            <v>3582</v>
          </cell>
          <cell r="C251">
            <v>453</v>
          </cell>
          <cell r="D251">
            <v>3.86</v>
          </cell>
        </row>
        <row r="252">
          <cell r="B252">
            <v>14216</v>
          </cell>
          <cell r="C252">
            <v>1539</v>
          </cell>
          <cell r="D252">
            <v>5.69</v>
          </cell>
        </row>
        <row r="253">
          <cell r="B253">
            <v>32500</v>
          </cell>
          <cell r="C253">
            <v>948</v>
          </cell>
          <cell r="D253">
            <v>3.16</v>
          </cell>
        </row>
        <row r="254">
          <cell r="B254">
            <v>6832</v>
          </cell>
          <cell r="C254">
            <v>637</v>
          </cell>
          <cell r="D254">
            <v>1.6</v>
          </cell>
        </row>
        <row r="255">
          <cell r="B255">
            <v>191113</v>
          </cell>
          <cell r="C255">
            <v>6589</v>
          </cell>
          <cell r="D255">
            <v>40.64</v>
          </cell>
        </row>
        <row r="256">
          <cell r="B256">
            <v>105490</v>
          </cell>
          <cell r="C256">
            <v>4594</v>
          </cell>
          <cell r="D256">
            <v>20.440000000000001</v>
          </cell>
        </row>
        <row r="257">
          <cell r="B257">
            <v>48419</v>
          </cell>
          <cell r="C257">
            <v>339</v>
          </cell>
          <cell r="D257">
            <v>5.59</v>
          </cell>
        </row>
        <row r="258">
          <cell r="B258">
            <v>33381</v>
          </cell>
          <cell r="C258">
            <v>1881</v>
          </cell>
          <cell r="D258">
            <v>6.09</v>
          </cell>
        </row>
        <row r="259">
          <cell r="B259">
            <v>16149</v>
          </cell>
          <cell r="C259">
            <v>1510</v>
          </cell>
          <cell r="D259">
            <v>3.55</v>
          </cell>
        </row>
        <row r="260">
          <cell r="B260">
            <v>7541</v>
          </cell>
          <cell r="C260">
            <v>864</v>
          </cell>
          <cell r="D260">
            <v>5.21</v>
          </cell>
        </row>
        <row r="261">
          <cell r="B261">
            <v>85623</v>
          </cell>
          <cell r="C261">
            <v>1995</v>
          </cell>
          <cell r="D261">
            <v>20.2</v>
          </cell>
        </row>
        <row r="262">
          <cell r="B262">
            <v>49400</v>
          </cell>
          <cell r="C262">
            <v>407</v>
          </cell>
          <cell r="D262">
            <v>4</v>
          </cell>
        </row>
        <row r="263">
          <cell r="B263">
            <v>20042</v>
          </cell>
          <cell r="C263">
            <v>1656</v>
          </cell>
          <cell r="D263">
            <v>1.82</v>
          </cell>
        </row>
        <row r="264">
          <cell r="B264">
            <v>4007</v>
          </cell>
          <cell r="C264">
            <v>269</v>
          </cell>
          <cell r="D264">
            <v>7.57</v>
          </cell>
        </row>
        <row r="265">
          <cell r="B265">
            <v>12174</v>
          </cell>
          <cell r="C265">
            <v>-337</v>
          </cell>
          <cell r="D265">
            <v>6.81</v>
          </cell>
        </row>
        <row r="266">
          <cell r="B266">
            <v>4832916</v>
          </cell>
          <cell r="C266">
            <v>160105</v>
          </cell>
          <cell r="D266">
            <v>1128.9399999999996</v>
          </cell>
        </row>
      </sheetData>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mitta\Downloads\Myntra_Social_Media_Analytics%20(3).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mitta\Downloads\Myntra_Social_Media_Analytics%20(3).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ka Mittal" refreshedDate="45995.64008125" createdVersion="8" refreshedVersion="8" minRefreshableVersion="3" recordCount="200" xr:uid="{BE15AA8D-3DB4-4AC3-9706-1B3BC970C50A}">
  <cacheSource type="worksheet">
    <worksheetSource ref="A1:H201" sheet="Engagment Summary" r:id="rId2"/>
  </cacheSource>
  <cacheFields count="10">
    <cacheField name="Week_Start_Date" numFmtId="16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9"/>
    </cacheField>
    <cacheField name="Platform" numFmtId="0">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acheField>
    <cacheField name="Engagement_Rate" numFmtId="1">
      <sharedItems containsSemiMixedTypes="0" containsString="0" containsNumber="1" minValue="1.53" maxValue="9.48"/>
    </cacheField>
    <cacheField name="Ad_Spend" numFmtId="1">
      <sharedItems containsSemiMixedTypes="0" containsString="0" containsNumber="1" containsInteger="1" minValue="1083" maxValue="49772"/>
    </cacheField>
    <cacheField name="Net Followers" numFmtId="1">
      <sharedItems containsSemiMixedTypes="0" containsString="0" containsNumber="1" containsInteger="1" minValue="-337" maxValue="1881"/>
    </cacheField>
    <cacheField name="Days (Week_Start_Date)" numFmtId="0" databaseField="0">
      <fieldGroup base="0">
        <rangePr groupBy="days" startDate="2024-06-03T00:00:00" endDate="2025-05-13T00:00:00"/>
        <groupItems count="368">
          <s v="&lt;03-06-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ka Mittal" refreshedDate="45995.640407754632" createdVersion="8" refreshedVersion="8" minRefreshableVersion="3" recordCount="200" xr:uid="{6E18F853-E2B2-4BAC-A6F5-15B17EB8BCAF}">
  <cacheSource type="worksheet">
    <worksheetSource ref="A1:I201" sheet="Engagment Summary" r:id="rId2"/>
  </cacheSource>
  <cacheFields count="11">
    <cacheField name="Week_Start_Date" numFmtId="16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0"/>
    </cacheField>
    <cacheField name="Platform" numFmtId="0">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ount="200">
        <n v="344084"/>
        <n v="42654"/>
        <n v="146834"/>
        <n v="395536"/>
        <n v="49157"/>
        <n v="316555"/>
        <n v="254347"/>
        <n v="413878"/>
        <n v="456946"/>
        <n v="169496"/>
        <n v="122732"/>
        <n v="382851"/>
        <n v="35664"/>
        <n v="26295"/>
        <n v="298421"/>
        <n v="426184"/>
        <n v="419447"/>
        <n v="220020"/>
        <n v="315305"/>
        <n v="113678"/>
        <n v="58223"/>
        <n v="251694"/>
        <n v="389810"/>
        <n v="233694"/>
        <n v="154169"/>
        <n v="334626"/>
        <n v="226002"/>
        <n v="156683"/>
        <n v="473812"/>
        <n v="295032"/>
        <n v="198278"/>
        <n v="306564"/>
        <n v="23664"/>
        <n v="435034"/>
        <n v="287574"/>
        <n v="62499"/>
        <n v="437968"/>
        <n v="125034"/>
        <n v="449994"/>
        <n v="320650"/>
        <n v="489188"/>
        <n v="307612"/>
        <n v="434883"/>
        <n v="102042"/>
        <n v="325444"/>
        <n v="183924"/>
        <n v="188655"/>
        <n v="87443"/>
        <n v="453799"/>
        <n v="379380"/>
        <n v="186454"/>
        <n v="239044"/>
        <n v="101332"/>
        <n v="496982"/>
        <n v="318779"/>
        <n v="370971"/>
        <n v="378054"/>
        <n v="307524"/>
        <n v="434047"/>
        <n v="64583"/>
        <n v="50793"/>
        <n v="474162"/>
        <n v="392355"/>
        <n v="119934"/>
        <n v="422625"/>
        <n v="239753"/>
        <n v="268516"/>
        <n v="63177"/>
        <n v="370269"/>
        <n v="453423"/>
        <n v="64906"/>
        <n v="94360"/>
        <n v="187183"/>
        <n v="379363"/>
        <n v="476486"/>
        <n v="117767"/>
        <n v="388555"/>
        <n v="157599"/>
        <n v="309772"/>
        <n v="199178"/>
        <n v="357089"/>
        <n v="23492"/>
        <n v="258287"/>
        <n v="256910"/>
        <n v="346522"/>
        <n v="209987"/>
        <n v="240550"/>
        <n v="305827"/>
        <n v="54935"/>
        <n v="319186"/>
        <n v="439080"/>
        <n v="258944"/>
        <n v="51395"/>
        <n v="309483"/>
        <n v="87305"/>
        <n v="121091"/>
        <n v="51087"/>
        <n v="338847"/>
        <n v="487523"/>
        <n v="301695"/>
        <n v="282466"/>
        <n v="336661"/>
        <n v="88455"/>
        <n v="62535"/>
        <n v="421957"/>
        <n v="470269"/>
        <n v="309904"/>
        <n v="221274"/>
        <n v="220616"/>
        <n v="35842"/>
        <n v="20607"/>
        <n v="451894"/>
        <n v="465553"/>
        <n v="415815"/>
        <n v="327183"/>
        <n v="488901"/>
        <n v="280795"/>
        <n v="93347"/>
        <n v="81119"/>
        <n v="25177"/>
        <n v="140804"/>
        <n v="379431"/>
        <n v="274831"/>
        <n v="136845"/>
        <n v="466382"/>
        <n v="95728"/>
        <n v="371156"/>
        <n v="95410"/>
        <n v="349413"/>
        <n v="224699"/>
        <n v="487896"/>
        <n v="14437"/>
        <n v="383681"/>
        <n v="479490"/>
        <n v="124404"/>
        <n v="336949"/>
        <n v="357265"/>
        <n v="321307"/>
        <n v="262569"/>
        <n v="461669"/>
        <n v="351556"/>
        <n v="135987"/>
        <n v="177554"/>
        <n v="270766"/>
        <n v="222126"/>
        <n v="309914"/>
        <n v="126582"/>
        <n v="485280"/>
        <n v="453243"/>
        <n v="104967"/>
        <n v="145608"/>
        <n v="105980"/>
        <n v="126524"/>
        <n v="230448"/>
        <n v="317007"/>
        <n v="464239"/>
        <n v="257579"/>
        <n v="366881"/>
        <n v="466575"/>
        <n v="224534"/>
        <n v="462142"/>
        <n v="340842"/>
        <n v="12471"/>
        <n v="98397"/>
        <n v="410330"/>
        <n v="342129"/>
        <n v="12447"/>
        <n v="17380"/>
        <n v="364810"/>
        <n v="373606"/>
        <n v="211090"/>
        <n v="441931"/>
        <n v="282780"/>
        <n v="370070"/>
        <n v="198350"/>
        <n v="435726"/>
        <n v="78789"/>
        <n v="98596"/>
        <n v="29589"/>
        <n v="290354"/>
        <n v="66682"/>
        <n v="70707"/>
        <n v="142507"/>
        <n v="369525"/>
        <n v="62942"/>
        <n v="377382"/>
        <n v="333851"/>
        <n v="270958"/>
        <n v="445944"/>
        <n v="224830"/>
        <n v="487289"/>
        <n v="11435"/>
        <n v="447902"/>
        <n v="418696"/>
        <n v="484364"/>
        <n v="148477"/>
        <n v="468301"/>
        <n v="364820"/>
        <n v="456298"/>
        <n v="82558"/>
      </sharedItems>
    </cacheField>
    <cacheField name="Engagement_Rate" numFmtId="1">
      <sharedItems containsSemiMixedTypes="0" containsString="0" containsNumber="1" minValue="1.53" maxValue="9.48"/>
    </cacheField>
    <cacheField name="Ad_Spend" numFmtId="1">
      <sharedItems containsSemiMixedTypes="0" containsString="0" containsNumber="1" containsInteger="1" minValue="1083" maxValue="49772"/>
    </cacheField>
    <cacheField name="Net Followers" numFmtId="1">
      <sharedItems containsSemiMixedTypes="0" containsString="0" containsNumber="1" containsInteger="1" minValue="-337" maxValue="1881" count="193">
        <n v="1047"/>
        <n v="1002"/>
        <n v="415"/>
        <n v="1090"/>
        <n v="517"/>
        <n v="1283"/>
        <n v="186"/>
        <n v="994"/>
        <n v="893"/>
        <n v="1382"/>
        <n v="1295"/>
        <n v="337"/>
        <n v="629"/>
        <n v="1670"/>
        <n v="835"/>
        <n v="-123"/>
        <n v="-219"/>
        <n v="64"/>
        <n v="1357"/>
        <n v="91"/>
        <n v="1672"/>
        <n v="309"/>
        <n v="547"/>
        <n v="514"/>
        <n v="1845"/>
        <n v="-164"/>
        <n v="429"/>
        <n v="160"/>
        <n v="159"/>
        <n v="961"/>
        <n v="1316"/>
        <n v="317"/>
        <n v="541"/>
        <n v="-318"/>
        <n v="1495"/>
        <n v="475"/>
        <n v="352"/>
        <n v="-197"/>
        <n v="328"/>
        <n v="319"/>
        <n v="1325"/>
        <n v="1334"/>
        <n v="37"/>
        <n v="1032"/>
        <n v="76"/>
        <n v="1058"/>
        <n v="1665"/>
        <n v="190"/>
        <n v="1609"/>
        <n v="1229"/>
        <n v="28"/>
        <n v="1247"/>
        <n v="1045"/>
        <n v="197"/>
        <n v="333"/>
        <n v="1572"/>
        <n v="1428"/>
        <n v="260"/>
        <n v="1100"/>
        <n v="377"/>
        <n v="98"/>
        <n v="1125"/>
        <n v="-32"/>
        <n v="666"/>
        <n v="-19"/>
        <n v="1680"/>
        <n v="1006"/>
        <n v="1025"/>
        <n v="-179"/>
        <n v="599"/>
        <n v="1706"/>
        <n v="1872"/>
        <n v="1662"/>
        <n v="107"/>
        <n v="118"/>
        <n v="1224"/>
        <n v="285"/>
        <n v="-20"/>
        <n v="367"/>
        <n v="262"/>
        <n v="439"/>
        <n v="636"/>
        <n v="1484"/>
        <n v="576"/>
        <n v="386"/>
        <n v="1657"/>
        <n v="1397"/>
        <n v="540"/>
        <n v="1603"/>
        <n v="1044"/>
        <n v="902"/>
        <n v="-106"/>
        <n v="1150"/>
        <n v="349"/>
        <n v="-49"/>
        <n v="72"/>
        <n v="445"/>
        <n v="60"/>
        <n v="1693"/>
        <n v="1332"/>
        <n v="885"/>
        <n v="1625"/>
        <n v="1173"/>
        <n v="291"/>
        <n v="1119"/>
        <n v="1373"/>
        <n v="1727"/>
        <n v="573"/>
        <n v="1432"/>
        <n v="1377"/>
        <n v="1359"/>
        <n v="876"/>
        <n v="684"/>
        <n v="730"/>
        <n v="911"/>
        <n v="1589"/>
        <n v="1765"/>
        <n v="1776"/>
        <n v="1529"/>
        <n v="1460"/>
        <n v="903"/>
        <n v="620"/>
        <n v="1188"/>
        <n v="846"/>
        <n v="1722"/>
        <n v="298"/>
        <n v="-144"/>
        <n v="901"/>
        <n v="427"/>
        <n v="891"/>
        <n v="724"/>
        <n v="-166"/>
        <n v="898"/>
        <n v="1426"/>
        <n v="1225"/>
        <n v="1080"/>
        <n v="748"/>
        <n v="569"/>
        <n v="-203"/>
        <n v="1723"/>
        <n v="912"/>
        <n v="1202"/>
        <n v="1444"/>
        <n v="965"/>
        <n v="1590"/>
        <n v="-37"/>
        <n v="1175"/>
        <n v="1375"/>
        <n v="1707"/>
        <n v="708"/>
        <n v="1016"/>
        <n v="1315"/>
        <n v="-119"/>
        <n v="899"/>
        <n v="315"/>
        <n v="212"/>
        <n v="908"/>
        <n v="1350"/>
        <n v="1242"/>
        <n v="680"/>
        <n v="1116"/>
        <n v="861"/>
        <n v="1385"/>
        <n v="461"/>
        <n v="474"/>
        <n v="292"/>
        <n v="389"/>
        <n v="641"/>
        <n v="1676"/>
        <n v="1467"/>
        <n v="167"/>
        <n v="1029"/>
        <n v="1007"/>
        <n v="209"/>
        <n v="-160"/>
        <n v="-175"/>
        <n v="53"/>
        <n v="145"/>
        <n v="603"/>
        <n v="759"/>
        <n v="1633"/>
        <n v="1539"/>
        <n v="453"/>
        <n v="948"/>
        <n v="637"/>
        <n v="1881"/>
        <n v="339"/>
        <n v="1510"/>
        <n v="864"/>
        <n v="1656"/>
        <n v="407"/>
        <n v="269"/>
        <n v="-337"/>
      </sharedItems>
    </cacheField>
    <cacheField name="Average Total Followers" numFmtId="1">
      <sharedItems containsSemiMixedTypes="0" containsString="0" containsNumber="1" minValue="66547.666666666672" maxValue="450320.66666666669" count="200">
        <n v="177857.33333333334"/>
        <n v="195008"/>
        <n v="197175.66666666666"/>
        <n v="253749.33333333334"/>
        <n v="206686.33333333334"/>
        <n v="328260"/>
        <n v="375057"/>
        <n v="346773.33333333331"/>
        <n v="249724.66666666666"/>
        <n v="225026.33333333334"/>
        <n v="180415.66666666666"/>
        <n v="148270"/>
        <n v="120126.66666666667"/>
        <n v="250300"/>
        <n v="381350.66666666669"/>
        <n v="355217"/>
        <n v="318257.33333333331"/>
        <n v="216334.33333333334"/>
        <n v="162402"/>
        <n v="141198.33333333334"/>
        <n v="233242.33333333334"/>
        <n v="291732.66666666669"/>
        <n v="259224.33333333334"/>
        <n v="240829.66666666666"/>
        <n v="238265.66666666666"/>
        <n v="239103.66666666666"/>
        <n v="285499"/>
        <n v="308509"/>
        <n v="322374"/>
        <n v="266624.66666666669"/>
        <n v="176168.66666666666"/>
        <n v="255087.33333333334"/>
        <n v="248757.33333333334"/>
        <n v="261702.33333333334"/>
        <n v="262680.33333333331"/>
        <n v="208500.33333333334"/>
        <n v="337665.33333333331"/>
        <n v="298559.33333333331"/>
        <n v="419944"/>
        <n v="372483.33333333331"/>
        <n v="410561"/>
        <n v="281512.33333333331"/>
        <n v="287456.33333333331"/>
        <n v="203803.33333333334"/>
        <n v="232674.33333333334"/>
        <n v="153340.66666666666"/>
        <n v="243299"/>
        <n v="306874"/>
        <n v="339877.66666666669"/>
        <n v="268292.66666666669"/>
        <n v="175610"/>
        <n v="279119.33333333331"/>
        <n v="305697.66666666669"/>
        <n v="395577.33333333331"/>
        <n v="355934.66666666669"/>
        <n v="352183"/>
        <n v="373208.33333333331"/>
        <n v="268718"/>
        <n v="183141"/>
        <n v="196512.66666666666"/>
        <n v="305770"/>
        <n v="328817"/>
        <n v="311638"/>
        <n v="260770.66666666666"/>
        <n v="310298"/>
        <n v="190482"/>
        <n v="233987.33333333334"/>
        <n v="295623"/>
        <n v="296199.33333333331"/>
        <n v="204229.66666666666"/>
        <n v="115483"/>
        <n v="220302"/>
        <n v="347677.33333333331"/>
        <n v="324538.66666666669"/>
        <n v="327602.66666666669"/>
        <n v="221307"/>
        <n v="285308.66666666669"/>
        <n v="222183"/>
        <n v="288679.66666666669"/>
        <n v="193253"/>
        <n v="212956"/>
        <n v="179563"/>
        <n v="287239.66666666669"/>
        <n v="271139.66666666669"/>
        <n v="265686.33333333331"/>
        <n v="252121.33333333334"/>
        <n v="200437.33333333334"/>
        <n v="226649.33333333334"/>
        <n v="271067"/>
        <n v="339070"/>
        <n v="249806.33333333334"/>
        <n v="206607.33333333334"/>
        <n v="149394.33333333334"/>
        <n v="172626.33333333334"/>
        <n v="86494.333333333328"/>
        <n v="170341.66666666666"/>
        <n v="292485.66666666669"/>
        <n v="376021.66666666669"/>
        <n v="357228"/>
        <n v="306940.66666666669"/>
        <n v="235860.66666666666"/>
        <n v="162550.33333333334"/>
        <n v="190982.33333333334"/>
        <n v="318253.66666666669"/>
        <n v="400710"/>
        <n v="333815.66666666669"/>
        <n v="250598"/>
        <n v="159244"/>
        <n v="92355"/>
        <n v="169447.66666666666"/>
        <n v="312684.66666666669"/>
        <n v="444420.66666666669"/>
        <n v="402850.33333333331"/>
        <n v="410633"/>
        <n v="365626.33333333331"/>
        <n v="287681"/>
        <n v="151753.66666666666"/>
        <n v="66547.666666666672"/>
        <n v="82366.666666666672"/>
        <n v="181804"/>
        <n v="265022"/>
        <n v="263702.33333333331"/>
        <n v="292686"/>
        <n v="232985"/>
        <n v="311088.66666666669"/>
        <n v="187431.33333333334"/>
        <n v="271993"/>
        <n v="223174"/>
        <n v="354002.66666666669"/>
        <n v="242344"/>
        <n v="295338"/>
        <n v="292536"/>
        <n v="329191.66666666669"/>
        <n v="313614.33333333331"/>
        <n v="272872.66666666669"/>
        <n v="338507"/>
        <n v="313713.66666666669"/>
        <n v="348515"/>
        <n v="358598"/>
        <n v="316404"/>
        <n v="221699"/>
        <n v="194769"/>
        <n v="223482"/>
        <n v="267602"/>
        <n v="219540.66666666666"/>
        <n v="307258.66666666669"/>
        <n v="355035"/>
        <n v="347830"/>
        <n v="234606"/>
        <n v="118851.66666666667"/>
        <n v="126037.33333333333"/>
        <n v="154317.33333333334"/>
        <n v="224659.66666666666"/>
        <n v="337231.33333333331"/>
        <n v="346275"/>
        <n v="362899.66666666669"/>
        <n v="363678.33333333331"/>
        <n v="352663.33333333331"/>
        <n v="384417"/>
        <n v="342506"/>
        <n v="271818.33333333331"/>
        <n v="150570"/>
        <n v="173732.66666666666"/>
        <n v="283618.66666666669"/>
        <n v="254968.66666666666"/>
        <n v="123985.33333333333"/>
        <n v="131545.66666666666"/>
        <n v="251932"/>
        <n v="316502"/>
        <n v="342209"/>
        <n v="311933.66666666669"/>
        <n v="364927"/>
        <n v="283733.33333333331"/>
        <n v="334715.33333333331"/>
        <n v="237621.66666666666"/>
        <n v="204370.33333333334"/>
        <n v="68991.333333333328"/>
        <n v="139513"/>
        <n v="128875"/>
        <n v="142581"/>
        <n v="93298.666666666672"/>
        <n v="194246.33333333334"/>
        <n v="191658"/>
        <n v="269949.66666666669"/>
        <n v="258058.33333333334"/>
        <n v="327397"/>
        <n v="350251"/>
        <n v="313910.66666666669"/>
        <n v="386021"/>
        <n v="241184.66666666666"/>
        <n v="315542"/>
        <n v="292677.66666666669"/>
        <n v="450320.66666666669"/>
        <n v="350512.33333333331"/>
        <n v="367047.33333333331"/>
        <n v="327199.33333333331"/>
        <n v="429806.33333333331"/>
        <n v="301225.33333333331"/>
        <n v="269428"/>
        <n v="82558"/>
      </sharedItems>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pivotCacheId="2076108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5904"/>
    <n v="1047"/>
  </r>
  <r>
    <x v="0"/>
    <x v="1"/>
    <n v="1312"/>
    <n v="310"/>
    <n v="42654"/>
    <n v="4.9800000000000004"/>
    <n v="9566"/>
    <n v="1002"/>
  </r>
  <r>
    <x v="0"/>
    <x v="2"/>
    <n v="584"/>
    <n v="169"/>
    <n v="146834"/>
    <n v="8.31"/>
    <n v="26752"/>
    <n v="415"/>
  </r>
  <r>
    <x v="0"/>
    <x v="3"/>
    <n v="1535"/>
    <n v="445"/>
    <n v="395536"/>
    <n v="4.1100000000000003"/>
    <n v="30671"/>
    <n v="1090"/>
  </r>
  <r>
    <x v="1"/>
    <x v="0"/>
    <n v="656"/>
    <n v="139"/>
    <n v="49157"/>
    <n v="9.0500000000000007"/>
    <n v="9920"/>
    <n v="517"/>
  </r>
  <r>
    <x v="1"/>
    <x v="1"/>
    <n v="1697"/>
    <n v="414"/>
    <n v="316555"/>
    <n v="2.37"/>
    <n v="7924"/>
    <n v="1283"/>
  </r>
  <r>
    <x v="1"/>
    <x v="2"/>
    <n v="436"/>
    <n v="250"/>
    <n v="254347"/>
    <n v="4.01"/>
    <n v="8912"/>
    <n v="186"/>
  </r>
  <r>
    <x v="1"/>
    <x v="3"/>
    <n v="1197"/>
    <n v="203"/>
    <n v="413878"/>
    <n v="3.16"/>
    <n v="21205"/>
    <n v="994"/>
  </r>
  <r>
    <x v="2"/>
    <x v="0"/>
    <n v="1048"/>
    <n v="155"/>
    <n v="456946"/>
    <n v="2.46"/>
    <n v="11329"/>
    <n v="893"/>
  </r>
  <r>
    <x v="2"/>
    <x v="1"/>
    <n v="1753"/>
    <n v="371"/>
    <n v="169496"/>
    <n v="8.11"/>
    <n v="46670"/>
    <n v="1382"/>
  </r>
  <r>
    <x v="2"/>
    <x v="2"/>
    <n v="1335"/>
    <n v="40"/>
    <n v="122732"/>
    <n v="8.19"/>
    <n v="22482"/>
    <n v="1295"/>
  </r>
  <r>
    <x v="2"/>
    <x v="3"/>
    <n v="403"/>
    <n v="66"/>
    <n v="382851"/>
    <n v="3.49"/>
    <n v="24313"/>
    <n v="337"/>
  </r>
  <r>
    <x v="3"/>
    <x v="0"/>
    <n v="911"/>
    <n v="282"/>
    <n v="35664"/>
    <n v="6.92"/>
    <n v="18050"/>
    <n v="629"/>
  </r>
  <r>
    <x v="3"/>
    <x v="1"/>
    <n v="1779"/>
    <n v="109"/>
    <n v="26295"/>
    <n v="9.1199999999999992"/>
    <n v="30635"/>
    <n v="1670"/>
  </r>
  <r>
    <x v="3"/>
    <x v="2"/>
    <n v="1238"/>
    <n v="403"/>
    <n v="298421"/>
    <n v="3.5"/>
    <n v="31280"/>
    <n v="835"/>
  </r>
  <r>
    <x v="3"/>
    <x v="3"/>
    <n v="308"/>
    <n v="431"/>
    <n v="426184"/>
    <n v="2.62"/>
    <n v="1783"/>
    <n v="-123"/>
  </r>
  <r>
    <x v="4"/>
    <x v="0"/>
    <n v="226"/>
    <n v="445"/>
    <n v="419447"/>
    <n v="9.36"/>
    <n v="9566"/>
    <n v="-219"/>
  </r>
  <r>
    <x v="4"/>
    <x v="1"/>
    <n v="505"/>
    <n v="441"/>
    <n v="220020"/>
    <n v="4.4800000000000004"/>
    <n v="42307"/>
    <n v="64"/>
  </r>
  <r>
    <x v="4"/>
    <x v="2"/>
    <n v="1420"/>
    <n v="63"/>
    <n v="315305"/>
    <n v="6.19"/>
    <n v="5914"/>
    <n v="1357"/>
  </r>
  <r>
    <x v="4"/>
    <x v="3"/>
    <n v="144"/>
    <n v="53"/>
    <n v="113678"/>
    <n v="8.7200000000000006"/>
    <n v="30060"/>
    <n v="91"/>
  </r>
  <r>
    <x v="5"/>
    <x v="0"/>
    <n v="1757"/>
    <n v="85"/>
    <n v="58223"/>
    <n v="8.74"/>
    <n v="22728"/>
    <n v="1672"/>
  </r>
  <r>
    <x v="5"/>
    <x v="1"/>
    <n v="350"/>
    <n v="41"/>
    <n v="251694"/>
    <n v="1.91"/>
    <n v="38610"/>
    <n v="309"/>
  </r>
  <r>
    <x v="5"/>
    <x v="2"/>
    <n v="987"/>
    <n v="440"/>
    <n v="389810"/>
    <n v="4.66"/>
    <n v="2932"/>
    <n v="547"/>
  </r>
  <r>
    <x v="5"/>
    <x v="3"/>
    <n v="883"/>
    <n v="369"/>
    <n v="233694"/>
    <n v="2.88"/>
    <n v="15071"/>
    <n v="514"/>
  </r>
  <r>
    <x v="6"/>
    <x v="0"/>
    <n v="1960"/>
    <n v="115"/>
    <n v="154169"/>
    <n v="3.74"/>
    <n v="10740"/>
    <n v="1845"/>
  </r>
  <r>
    <x v="6"/>
    <x v="1"/>
    <n v="170"/>
    <n v="334"/>
    <n v="334626"/>
    <n v="6.44"/>
    <n v="43420"/>
    <n v="-164"/>
  </r>
  <r>
    <x v="6"/>
    <x v="2"/>
    <n v="704"/>
    <n v="275"/>
    <n v="226002"/>
    <n v="8.56"/>
    <n v="32393"/>
    <n v="429"/>
  </r>
  <r>
    <x v="6"/>
    <x v="3"/>
    <n v="224"/>
    <n v="64"/>
    <n v="156683"/>
    <n v="4.5599999999999996"/>
    <n v="28474"/>
    <n v="160"/>
  </r>
  <r>
    <x v="7"/>
    <x v="0"/>
    <n v="508"/>
    <n v="349"/>
    <n v="473812"/>
    <n v="7.88"/>
    <n v="17328"/>
    <n v="159"/>
  </r>
  <r>
    <x v="7"/>
    <x v="1"/>
    <n v="1391"/>
    <n v="430"/>
    <n v="295032"/>
    <n v="7.86"/>
    <n v="26067"/>
    <n v="961"/>
  </r>
  <r>
    <x v="7"/>
    <x v="2"/>
    <n v="1701"/>
    <n v="385"/>
    <n v="198278"/>
    <n v="5.34"/>
    <n v="32763"/>
    <n v="1316"/>
  </r>
  <r>
    <x v="7"/>
    <x v="3"/>
    <n v="804"/>
    <n v="487"/>
    <n v="306564"/>
    <n v="5.52"/>
    <n v="26452"/>
    <n v="317"/>
  </r>
  <r>
    <x v="8"/>
    <x v="0"/>
    <n v="653"/>
    <n v="112"/>
    <n v="23664"/>
    <n v="4.05"/>
    <n v="15353"/>
    <n v="541"/>
  </r>
  <r>
    <x v="8"/>
    <x v="1"/>
    <n v="160"/>
    <n v="478"/>
    <n v="435034"/>
    <n v="7.73"/>
    <n v="4839"/>
    <n v="-318"/>
  </r>
  <r>
    <x v="8"/>
    <x v="2"/>
    <n v="1756"/>
    <n v="261"/>
    <n v="287574"/>
    <n v="4.3600000000000003"/>
    <n v="39272"/>
    <n v="1495"/>
  </r>
  <r>
    <x v="8"/>
    <x v="3"/>
    <n v="576"/>
    <n v="101"/>
    <n v="62499"/>
    <n v="3.48"/>
    <n v="16804"/>
    <n v="475"/>
  </r>
  <r>
    <x v="9"/>
    <x v="0"/>
    <n v="645"/>
    <n v="293"/>
    <n v="437968"/>
    <n v="7.83"/>
    <n v="49303"/>
    <n v="352"/>
  </r>
  <r>
    <x v="9"/>
    <x v="1"/>
    <n v="214"/>
    <n v="411"/>
    <n v="125034"/>
    <n v="6.11"/>
    <n v="26455"/>
    <n v="-197"/>
  </r>
  <r>
    <x v="9"/>
    <x v="2"/>
    <n v="826"/>
    <n v="498"/>
    <n v="449994"/>
    <n v="9.43"/>
    <n v="12384"/>
    <n v="328"/>
  </r>
  <r>
    <x v="9"/>
    <x v="3"/>
    <n v="460"/>
    <n v="141"/>
    <n v="320650"/>
    <n v="4.04"/>
    <n v="49372"/>
    <n v="319"/>
  </r>
  <r>
    <x v="10"/>
    <x v="0"/>
    <n v="1528"/>
    <n v="203"/>
    <n v="489188"/>
    <n v="6.23"/>
    <n v="47101"/>
    <n v="1325"/>
  </r>
  <r>
    <x v="10"/>
    <x v="1"/>
    <n v="1534"/>
    <n v="200"/>
    <n v="307612"/>
    <n v="6.01"/>
    <n v="37903"/>
    <n v="1334"/>
  </r>
  <r>
    <x v="10"/>
    <x v="2"/>
    <n v="485"/>
    <n v="448"/>
    <n v="434883"/>
    <n v="8.5500000000000007"/>
    <n v="33258"/>
    <n v="37"/>
  </r>
  <r>
    <x v="10"/>
    <x v="3"/>
    <n v="1210"/>
    <n v="178"/>
    <n v="102042"/>
    <n v="5.42"/>
    <n v="6915"/>
    <n v="1032"/>
  </r>
  <r>
    <x v="11"/>
    <x v="0"/>
    <n v="215"/>
    <n v="139"/>
    <n v="325444"/>
    <n v="3.25"/>
    <n v="35501"/>
    <n v="76"/>
  </r>
  <r>
    <x v="11"/>
    <x v="1"/>
    <n v="1078"/>
    <n v="20"/>
    <n v="183924"/>
    <n v="8.84"/>
    <n v="14203"/>
    <n v="1058"/>
  </r>
  <r>
    <x v="11"/>
    <x v="2"/>
    <n v="1751"/>
    <n v="86"/>
    <n v="188655"/>
    <n v="7.24"/>
    <n v="22206"/>
    <n v="1665"/>
  </r>
  <r>
    <x v="11"/>
    <x v="3"/>
    <n v="221"/>
    <n v="31"/>
    <n v="87443"/>
    <n v="6.19"/>
    <n v="10283"/>
    <n v="190"/>
  </r>
  <r>
    <x v="12"/>
    <x v="0"/>
    <n v="1685"/>
    <n v="76"/>
    <n v="453799"/>
    <n v="5.71"/>
    <n v="24913"/>
    <n v="1609"/>
  </r>
  <r>
    <x v="12"/>
    <x v="1"/>
    <n v="248"/>
    <n v="211"/>
    <n v="379380"/>
    <n v="9.0399999999999991"/>
    <n v="26925"/>
    <n v="37"/>
  </r>
  <r>
    <x v="12"/>
    <x v="2"/>
    <n v="1300"/>
    <n v="71"/>
    <n v="186454"/>
    <n v="3.91"/>
    <n v="9942"/>
    <n v="1229"/>
  </r>
  <r>
    <x v="12"/>
    <x v="3"/>
    <n v="422"/>
    <n v="394"/>
    <n v="239044"/>
    <n v="7.83"/>
    <n v="32929"/>
    <n v="28"/>
  </r>
  <r>
    <x v="13"/>
    <x v="0"/>
    <n v="1429"/>
    <n v="182"/>
    <n v="101332"/>
    <n v="7.16"/>
    <n v="37829"/>
    <n v="1247"/>
  </r>
  <r>
    <x v="13"/>
    <x v="1"/>
    <n v="1520"/>
    <n v="475"/>
    <n v="496982"/>
    <n v="6.41"/>
    <n v="24384"/>
    <n v="1045"/>
  </r>
  <r>
    <x v="13"/>
    <x v="2"/>
    <n v="557"/>
    <n v="360"/>
    <n v="318779"/>
    <n v="8.02"/>
    <n v="25797"/>
    <n v="197"/>
  </r>
  <r>
    <x v="13"/>
    <x v="3"/>
    <n v="728"/>
    <n v="395"/>
    <n v="370971"/>
    <n v="3.86"/>
    <n v="12646"/>
    <n v="333"/>
  </r>
  <r>
    <x v="14"/>
    <x v="0"/>
    <n v="1592"/>
    <n v="20"/>
    <n v="378054"/>
    <n v="9.09"/>
    <n v="26663"/>
    <n v="1572"/>
  </r>
  <r>
    <x v="14"/>
    <x v="1"/>
    <n v="1842"/>
    <n v="414"/>
    <n v="307524"/>
    <n v="1.76"/>
    <n v="40478"/>
    <n v="1428"/>
  </r>
  <r>
    <x v="14"/>
    <x v="2"/>
    <n v="751"/>
    <n v="491"/>
    <n v="434047"/>
    <n v="9.24"/>
    <n v="15476"/>
    <n v="260"/>
  </r>
  <r>
    <x v="14"/>
    <x v="3"/>
    <n v="1409"/>
    <n v="309"/>
    <n v="64583"/>
    <n v="8.99"/>
    <n v="10217"/>
    <n v="1100"/>
  </r>
  <r>
    <x v="15"/>
    <x v="0"/>
    <n v="778"/>
    <n v="401"/>
    <n v="50793"/>
    <n v="3.4"/>
    <n v="21939"/>
    <n v="377"/>
  </r>
  <r>
    <x v="15"/>
    <x v="1"/>
    <n v="443"/>
    <n v="345"/>
    <n v="474162"/>
    <n v="9.1999999999999993"/>
    <n v="47462"/>
    <n v="98"/>
  </r>
  <r>
    <x v="15"/>
    <x v="2"/>
    <n v="1472"/>
    <n v="347"/>
    <n v="392355"/>
    <n v="8.59"/>
    <n v="30270"/>
    <n v="1125"/>
  </r>
  <r>
    <x v="15"/>
    <x v="3"/>
    <n v="123"/>
    <n v="155"/>
    <n v="119934"/>
    <n v="3.5"/>
    <n v="5442"/>
    <n v="-32"/>
  </r>
  <r>
    <x v="16"/>
    <x v="0"/>
    <n v="817"/>
    <n v="151"/>
    <n v="422625"/>
    <n v="2.36"/>
    <n v="1083"/>
    <n v="666"/>
  </r>
  <r>
    <x v="16"/>
    <x v="1"/>
    <n v="198"/>
    <n v="217"/>
    <n v="239753"/>
    <n v="7.36"/>
    <n v="11901"/>
    <n v="-19"/>
  </r>
  <r>
    <x v="16"/>
    <x v="2"/>
    <n v="1911"/>
    <n v="231"/>
    <n v="268516"/>
    <n v="8.5500000000000007"/>
    <n v="24018"/>
    <n v="1680"/>
  </r>
  <r>
    <x v="16"/>
    <x v="3"/>
    <n v="1218"/>
    <n v="212"/>
    <n v="63177"/>
    <n v="8.1300000000000008"/>
    <n v="38883"/>
    <n v="1006"/>
  </r>
  <r>
    <x v="17"/>
    <x v="0"/>
    <n v="1433"/>
    <n v="408"/>
    <n v="370269"/>
    <n v="3.3"/>
    <n v="30575"/>
    <n v="1025"/>
  </r>
  <r>
    <x v="17"/>
    <x v="1"/>
    <n v="250"/>
    <n v="429"/>
    <n v="453423"/>
    <n v="1.77"/>
    <n v="2315"/>
    <n v="-179"/>
  </r>
  <r>
    <x v="17"/>
    <x v="2"/>
    <n v="752"/>
    <n v="153"/>
    <n v="64906"/>
    <n v="2.09"/>
    <n v="12148"/>
    <n v="599"/>
  </r>
  <r>
    <x v="17"/>
    <x v="3"/>
    <n v="1918"/>
    <n v="212"/>
    <n v="94360"/>
    <n v="7.36"/>
    <n v="36851"/>
    <n v="1706"/>
  </r>
  <r>
    <x v="18"/>
    <x v="0"/>
    <n v="1939"/>
    <n v="67"/>
    <n v="187183"/>
    <n v="6.25"/>
    <n v="41215"/>
    <n v="1872"/>
  </r>
  <r>
    <x v="18"/>
    <x v="1"/>
    <n v="1929"/>
    <n v="267"/>
    <n v="379363"/>
    <n v="1.75"/>
    <n v="43836"/>
    <n v="1662"/>
  </r>
  <r>
    <x v="18"/>
    <x v="2"/>
    <n v="437"/>
    <n v="330"/>
    <n v="476486"/>
    <n v="4.97"/>
    <n v="4509"/>
    <n v="107"/>
  </r>
  <r>
    <x v="18"/>
    <x v="3"/>
    <n v="307"/>
    <n v="189"/>
    <n v="117767"/>
    <n v="9.3000000000000007"/>
    <n v="27822"/>
    <n v="118"/>
  </r>
  <r>
    <x v="19"/>
    <x v="0"/>
    <n v="1527"/>
    <n v="303"/>
    <n v="388555"/>
    <n v="8.9"/>
    <n v="36397"/>
    <n v="1224"/>
  </r>
  <r>
    <x v="19"/>
    <x v="1"/>
    <n v="643"/>
    <n v="358"/>
    <n v="157599"/>
    <n v="3.88"/>
    <n v="7285"/>
    <n v="285"/>
  </r>
  <r>
    <x v="19"/>
    <x v="2"/>
    <n v="201"/>
    <n v="221"/>
    <n v="309772"/>
    <n v="5.9"/>
    <n v="33174"/>
    <n v="-20"/>
  </r>
  <r>
    <x v="19"/>
    <x v="3"/>
    <n v="414"/>
    <n v="47"/>
    <n v="199178"/>
    <n v="1.53"/>
    <n v="6742"/>
    <n v="367"/>
  </r>
  <r>
    <x v="20"/>
    <x v="0"/>
    <n v="703"/>
    <n v="441"/>
    <n v="357089"/>
    <n v="6.5"/>
    <n v="32478"/>
    <n v="262"/>
  </r>
  <r>
    <x v="20"/>
    <x v="1"/>
    <n v="508"/>
    <n v="69"/>
    <n v="23492"/>
    <n v="3.16"/>
    <n v="42824"/>
    <n v="439"/>
  </r>
  <r>
    <x v="20"/>
    <x v="2"/>
    <n v="697"/>
    <n v="61"/>
    <n v="258287"/>
    <n v="8.25"/>
    <n v="21208"/>
    <n v="636"/>
  </r>
  <r>
    <x v="20"/>
    <x v="3"/>
    <n v="1707"/>
    <n v="223"/>
    <n v="256910"/>
    <n v="5.41"/>
    <n v="44321"/>
    <n v="1484"/>
  </r>
  <r>
    <x v="21"/>
    <x v="0"/>
    <n v="642"/>
    <n v="66"/>
    <n v="346522"/>
    <n v="5.85"/>
    <n v="13116"/>
    <n v="576"/>
  </r>
  <r>
    <x v="21"/>
    <x v="1"/>
    <n v="859"/>
    <n v="473"/>
    <n v="209987"/>
    <n v="4.46"/>
    <n v="30214"/>
    <n v="386"/>
  </r>
  <r>
    <x v="21"/>
    <x v="2"/>
    <n v="191"/>
    <n v="154"/>
    <n v="240550"/>
    <n v="5.22"/>
    <n v="15827"/>
    <n v="37"/>
  </r>
  <r>
    <x v="21"/>
    <x v="3"/>
    <n v="1814"/>
    <n v="157"/>
    <n v="305827"/>
    <n v="1.99"/>
    <n v="46643"/>
    <n v="1657"/>
  </r>
  <r>
    <x v="22"/>
    <x v="0"/>
    <n v="1466"/>
    <n v="69"/>
    <n v="54935"/>
    <n v="6.85"/>
    <n v="36484"/>
    <n v="1397"/>
  </r>
  <r>
    <x v="22"/>
    <x v="1"/>
    <n v="947"/>
    <n v="407"/>
    <n v="319186"/>
    <n v="3.32"/>
    <n v="4996"/>
    <n v="540"/>
  </r>
  <r>
    <x v="22"/>
    <x v="2"/>
    <n v="1821"/>
    <n v="218"/>
    <n v="439080"/>
    <n v="5.68"/>
    <n v="36095"/>
    <n v="1603"/>
  </r>
  <r>
    <x v="22"/>
    <x v="3"/>
    <n v="1507"/>
    <n v="463"/>
    <n v="258944"/>
    <n v="6.08"/>
    <n v="16443"/>
    <n v="1044"/>
  </r>
  <r>
    <x v="23"/>
    <x v="0"/>
    <n v="1075"/>
    <n v="173"/>
    <n v="51395"/>
    <n v="4.66"/>
    <n v="47812"/>
    <n v="902"/>
  </r>
  <r>
    <x v="23"/>
    <x v="1"/>
    <n v="171"/>
    <n v="277"/>
    <n v="309483"/>
    <n v="8.6999999999999993"/>
    <n v="38452"/>
    <n v="-106"/>
  </r>
  <r>
    <x v="23"/>
    <x v="2"/>
    <n v="1487"/>
    <n v="337"/>
    <n v="87305"/>
    <n v="2.46"/>
    <n v="30428"/>
    <n v="1150"/>
  </r>
  <r>
    <x v="23"/>
    <x v="3"/>
    <n v="454"/>
    <n v="105"/>
    <n v="121091"/>
    <n v="7.97"/>
    <n v="9269"/>
    <n v="349"/>
  </r>
  <r>
    <x v="24"/>
    <x v="0"/>
    <n v="187"/>
    <n v="236"/>
    <n v="51087"/>
    <n v="9.41"/>
    <n v="29533"/>
    <n v="-49"/>
  </r>
  <r>
    <x v="24"/>
    <x v="1"/>
    <n v="513"/>
    <n v="441"/>
    <n v="338847"/>
    <n v="2.68"/>
    <n v="39997"/>
    <n v="72"/>
  </r>
  <r>
    <x v="24"/>
    <x v="2"/>
    <n v="628"/>
    <n v="183"/>
    <n v="487523"/>
    <n v="7.32"/>
    <n v="5391"/>
    <n v="445"/>
  </r>
  <r>
    <x v="24"/>
    <x v="3"/>
    <n v="278"/>
    <n v="218"/>
    <n v="301695"/>
    <n v="4.68"/>
    <n v="22373"/>
    <n v="60"/>
  </r>
  <r>
    <x v="25"/>
    <x v="0"/>
    <n v="1854"/>
    <n v="161"/>
    <n v="282466"/>
    <n v="5.17"/>
    <n v="1810"/>
    <n v="1693"/>
  </r>
  <r>
    <x v="25"/>
    <x v="1"/>
    <n v="1710"/>
    <n v="378"/>
    <n v="336661"/>
    <n v="6.2"/>
    <n v="28498"/>
    <n v="1332"/>
  </r>
  <r>
    <x v="25"/>
    <x v="2"/>
    <n v="330"/>
    <n v="232"/>
    <n v="88455"/>
    <n v="2.69"/>
    <n v="39530"/>
    <n v="98"/>
  </r>
  <r>
    <x v="25"/>
    <x v="3"/>
    <n v="1293"/>
    <n v="408"/>
    <n v="62535"/>
    <n v="8.9"/>
    <n v="37876"/>
    <n v="885"/>
  </r>
  <r>
    <x v="26"/>
    <x v="0"/>
    <n v="1696"/>
    <n v="71"/>
    <n v="421957"/>
    <n v="3.79"/>
    <n v="36103"/>
    <n v="1625"/>
  </r>
  <r>
    <x v="26"/>
    <x v="1"/>
    <n v="1902"/>
    <n v="196"/>
    <n v="470269"/>
    <n v="4.79"/>
    <n v="26103"/>
    <n v="1706"/>
  </r>
  <r>
    <x v="26"/>
    <x v="2"/>
    <n v="1441"/>
    <n v="268"/>
    <n v="309904"/>
    <n v="6.37"/>
    <n v="3455"/>
    <n v="1173"/>
  </r>
  <r>
    <x v="26"/>
    <x v="3"/>
    <n v="452"/>
    <n v="161"/>
    <n v="221274"/>
    <n v="2.65"/>
    <n v="40888"/>
    <n v="291"/>
  </r>
  <r>
    <x v="27"/>
    <x v="0"/>
    <n v="1494"/>
    <n v="375"/>
    <n v="220616"/>
    <n v="1.81"/>
    <n v="22724"/>
    <n v="1119"/>
  </r>
  <r>
    <x v="27"/>
    <x v="1"/>
    <n v="1514"/>
    <n v="141"/>
    <n v="35842"/>
    <n v="7.47"/>
    <n v="18601"/>
    <n v="1373"/>
  </r>
  <r>
    <x v="27"/>
    <x v="2"/>
    <n v="1937"/>
    <n v="210"/>
    <n v="20607"/>
    <n v="4.2"/>
    <n v="20861"/>
    <n v="1727"/>
  </r>
  <r>
    <x v="27"/>
    <x v="3"/>
    <n v="736"/>
    <n v="163"/>
    <n v="451894"/>
    <n v="5.43"/>
    <n v="46625"/>
    <n v="573"/>
  </r>
  <r>
    <x v="28"/>
    <x v="0"/>
    <n v="1502"/>
    <n v="70"/>
    <n v="465553"/>
    <n v="3.32"/>
    <n v="20692"/>
    <n v="1432"/>
  </r>
  <r>
    <x v="28"/>
    <x v="1"/>
    <n v="1623"/>
    <n v="246"/>
    <n v="415815"/>
    <n v="8.11"/>
    <n v="18656"/>
    <n v="1377"/>
  </r>
  <r>
    <x v="28"/>
    <x v="2"/>
    <n v="1592"/>
    <n v="233"/>
    <n v="327183"/>
    <n v="6.66"/>
    <n v="13316"/>
    <n v="1359"/>
  </r>
  <r>
    <x v="28"/>
    <x v="3"/>
    <n v="1004"/>
    <n v="128"/>
    <n v="488901"/>
    <n v="8.09"/>
    <n v="49558"/>
    <n v="876"/>
  </r>
  <r>
    <x v="29"/>
    <x v="0"/>
    <n v="1092"/>
    <n v="408"/>
    <n v="280795"/>
    <n v="8.44"/>
    <n v="4683"/>
    <n v="684"/>
  </r>
  <r>
    <x v="29"/>
    <x v="1"/>
    <n v="1155"/>
    <n v="425"/>
    <n v="93347"/>
    <n v="2.02"/>
    <n v="47502"/>
    <n v="730"/>
  </r>
  <r>
    <x v="29"/>
    <x v="2"/>
    <n v="1137"/>
    <n v="226"/>
    <n v="81119"/>
    <n v="7.74"/>
    <n v="35359"/>
    <n v="911"/>
  </r>
  <r>
    <x v="29"/>
    <x v="3"/>
    <n v="1900"/>
    <n v="311"/>
    <n v="25177"/>
    <n v="2.89"/>
    <n v="14154"/>
    <n v="1589"/>
  </r>
  <r>
    <x v="30"/>
    <x v="0"/>
    <n v="1814"/>
    <n v="49"/>
    <n v="140804"/>
    <n v="1.76"/>
    <n v="4313"/>
    <n v="1765"/>
  </r>
  <r>
    <x v="30"/>
    <x v="1"/>
    <n v="1980"/>
    <n v="204"/>
    <n v="379431"/>
    <n v="3.09"/>
    <n v="25140"/>
    <n v="1776"/>
  </r>
  <r>
    <x v="30"/>
    <x v="2"/>
    <n v="1786"/>
    <n v="257"/>
    <n v="274831"/>
    <n v="4.68"/>
    <n v="9118"/>
    <n v="1529"/>
  </r>
  <r>
    <x v="30"/>
    <x v="3"/>
    <n v="1495"/>
    <n v="35"/>
    <n v="136845"/>
    <n v="4.4800000000000004"/>
    <n v="39931"/>
    <n v="1460"/>
  </r>
  <r>
    <x v="31"/>
    <x v="0"/>
    <n v="1013"/>
    <n v="110"/>
    <n v="466382"/>
    <n v="5.3"/>
    <n v="37132"/>
    <n v="903"/>
  </r>
  <r>
    <x v="31"/>
    <x v="1"/>
    <n v="816"/>
    <n v="196"/>
    <n v="95728"/>
    <n v="8.1999999999999993"/>
    <n v="17951"/>
    <n v="620"/>
  </r>
  <r>
    <x v="31"/>
    <x v="2"/>
    <n v="1633"/>
    <n v="445"/>
    <n v="371156"/>
    <n v="2.2200000000000002"/>
    <n v="2798"/>
    <n v="1188"/>
  </r>
  <r>
    <x v="31"/>
    <x v="3"/>
    <n v="891"/>
    <n v="45"/>
    <n v="95410"/>
    <n v="8.33"/>
    <n v="15045"/>
    <n v="846"/>
  </r>
  <r>
    <x v="32"/>
    <x v="0"/>
    <n v="1855"/>
    <n v="133"/>
    <n v="349413"/>
    <n v="3.3"/>
    <n v="14548"/>
    <n v="1722"/>
  </r>
  <r>
    <x v="32"/>
    <x v="1"/>
    <n v="651"/>
    <n v="353"/>
    <n v="224699"/>
    <n v="5.61"/>
    <n v="45708"/>
    <n v="298"/>
  </r>
  <r>
    <x v="32"/>
    <x v="2"/>
    <n v="118"/>
    <n v="262"/>
    <n v="487896"/>
    <n v="2.56"/>
    <n v="12350"/>
    <n v="-144"/>
  </r>
  <r>
    <x v="32"/>
    <x v="3"/>
    <n v="1331"/>
    <n v="430"/>
    <n v="14437"/>
    <n v="3.29"/>
    <n v="40868"/>
    <n v="901"/>
  </r>
  <r>
    <x v="33"/>
    <x v="0"/>
    <n v="1748"/>
    <n v="176"/>
    <n v="383681"/>
    <n v="9.24"/>
    <n v="43122"/>
    <n v="1572"/>
  </r>
  <r>
    <x v="33"/>
    <x v="1"/>
    <n v="663"/>
    <n v="236"/>
    <n v="479490"/>
    <n v="4.51"/>
    <n v="23853"/>
    <n v="427"/>
  </r>
  <r>
    <x v="33"/>
    <x v="2"/>
    <n v="1040"/>
    <n v="149"/>
    <n v="124404"/>
    <n v="5.23"/>
    <n v="45380"/>
    <n v="891"/>
  </r>
  <r>
    <x v="33"/>
    <x v="3"/>
    <n v="1166"/>
    <n v="442"/>
    <n v="336949"/>
    <n v="4.68"/>
    <n v="7705"/>
    <n v="724"/>
  </r>
  <r>
    <x v="34"/>
    <x v="0"/>
    <n v="115"/>
    <n v="281"/>
    <n v="357265"/>
    <n v="9.23"/>
    <n v="25525"/>
    <n v="-166"/>
  </r>
  <r>
    <x v="34"/>
    <x v="1"/>
    <n v="1249"/>
    <n v="351"/>
    <n v="321307"/>
    <n v="6.37"/>
    <n v="20560"/>
    <n v="898"/>
  </r>
  <r>
    <x v="34"/>
    <x v="2"/>
    <n v="1501"/>
    <n v="75"/>
    <n v="262569"/>
    <n v="2.0099999999999998"/>
    <n v="19119"/>
    <n v="1426"/>
  </r>
  <r>
    <x v="34"/>
    <x v="3"/>
    <n v="1411"/>
    <n v="186"/>
    <n v="461669"/>
    <n v="3.72"/>
    <n v="43999"/>
    <n v="1225"/>
  </r>
  <r>
    <x v="35"/>
    <x v="0"/>
    <n v="1556"/>
    <n v="476"/>
    <n v="351556"/>
    <n v="3.89"/>
    <n v="10825"/>
    <n v="1080"/>
  </r>
  <r>
    <x v="35"/>
    <x v="1"/>
    <n v="1159"/>
    <n v="411"/>
    <n v="135987"/>
    <n v="8.6999999999999993"/>
    <n v="40323"/>
    <n v="748"/>
  </r>
  <r>
    <x v="35"/>
    <x v="2"/>
    <n v="927"/>
    <n v="358"/>
    <n v="177554"/>
    <n v="6.95"/>
    <n v="48270"/>
    <n v="569"/>
  </r>
  <r>
    <x v="35"/>
    <x v="3"/>
    <n v="152"/>
    <n v="355"/>
    <n v="270766"/>
    <n v="9.48"/>
    <n v="18001"/>
    <n v="-203"/>
  </r>
  <r>
    <x v="36"/>
    <x v="0"/>
    <n v="1957"/>
    <n v="234"/>
    <n v="222126"/>
    <n v="4.6100000000000003"/>
    <n v="3314"/>
    <n v="1723"/>
  </r>
  <r>
    <x v="36"/>
    <x v="1"/>
    <n v="1294"/>
    <n v="382"/>
    <n v="309914"/>
    <n v="8.0299999999999994"/>
    <n v="23489"/>
    <n v="912"/>
  </r>
  <r>
    <x v="36"/>
    <x v="2"/>
    <n v="1587"/>
    <n v="385"/>
    <n v="126582"/>
    <n v="6.99"/>
    <n v="42832"/>
    <n v="1202"/>
  </r>
  <r>
    <x v="36"/>
    <x v="3"/>
    <n v="1707"/>
    <n v="263"/>
    <n v="485280"/>
    <n v="9.0299999999999994"/>
    <n v="24494"/>
    <n v="1444"/>
  </r>
  <r>
    <x v="37"/>
    <x v="0"/>
    <n v="1138"/>
    <n v="173"/>
    <n v="453243"/>
    <n v="2.86"/>
    <n v="44097"/>
    <n v="965"/>
  </r>
  <r>
    <x v="37"/>
    <x v="1"/>
    <n v="1895"/>
    <n v="305"/>
    <n v="104967"/>
    <n v="3.85"/>
    <n v="31853"/>
    <n v="1590"/>
  </r>
  <r>
    <x v="37"/>
    <x v="2"/>
    <n v="362"/>
    <n v="399"/>
    <n v="145608"/>
    <n v="7.3"/>
    <n v="37636"/>
    <n v="-37"/>
  </r>
  <r>
    <x v="37"/>
    <x v="3"/>
    <n v="1662"/>
    <n v="487"/>
    <n v="105980"/>
    <n v="9.08"/>
    <n v="22996"/>
    <n v="1175"/>
  </r>
  <r>
    <x v="38"/>
    <x v="0"/>
    <n v="1440"/>
    <n v="65"/>
    <n v="126524"/>
    <n v="4.34"/>
    <n v="49772"/>
    <n v="1375"/>
  </r>
  <r>
    <x v="38"/>
    <x v="1"/>
    <n v="1884"/>
    <n v="177"/>
    <n v="230448"/>
    <n v="7.8"/>
    <n v="22713"/>
    <n v="1707"/>
  </r>
  <r>
    <x v="38"/>
    <x v="2"/>
    <n v="861"/>
    <n v="153"/>
    <n v="317007"/>
    <n v="3.85"/>
    <n v="8718"/>
    <n v="708"/>
  </r>
  <r>
    <x v="38"/>
    <x v="3"/>
    <n v="1063"/>
    <n v="47"/>
    <n v="464239"/>
    <n v="6.58"/>
    <n v="39031"/>
    <n v="1016"/>
  </r>
  <r>
    <x v="39"/>
    <x v="0"/>
    <n v="1371"/>
    <n v="56"/>
    <n v="257579"/>
    <n v="8.6199999999999992"/>
    <n v="33799"/>
    <n v="1315"/>
  </r>
  <r>
    <x v="39"/>
    <x v="1"/>
    <n v="345"/>
    <n v="464"/>
    <n v="366881"/>
    <n v="4.55"/>
    <n v="20553"/>
    <n v="-119"/>
  </r>
  <r>
    <x v="39"/>
    <x v="2"/>
    <n v="946"/>
    <n v="47"/>
    <n v="466575"/>
    <n v="8.33"/>
    <n v="10002"/>
    <n v="899"/>
  </r>
  <r>
    <x v="39"/>
    <x v="3"/>
    <n v="510"/>
    <n v="195"/>
    <n v="224534"/>
    <n v="9.4"/>
    <n v="30987"/>
    <n v="315"/>
  </r>
  <r>
    <x v="40"/>
    <x v="0"/>
    <n v="393"/>
    <n v="181"/>
    <n v="462142"/>
    <n v="7.23"/>
    <n v="6296"/>
    <n v="212"/>
  </r>
  <r>
    <x v="40"/>
    <x v="1"/>
    <n v="1098"/>
    <n v="190"/>
    <n v="340842"/>
    <n v="9.39"/>
    <n v="21539"/>
    <n v="908"/>
  </r>
  <r>
    <x v="40"/>
    <x v="2"/>
    <n v="1399"/>
    <n v="49"/>
    <n v="12471"/>
    <n v="5.12"/>
    <n v="14722"/>
    <n v="1350"/>
  </r>
  <r>
    <x v="40"/>
    <x v="3"/>
    <n v="1658"/>
    <n v="416"/>
    <n v="98397"/>
    <n v="6.11"/>
    <n v="11383"/>
    <n v="1242"/>
  </r>
  <r>
    <x v="41"/>
    <x v="0"/>
    <n v="1102"/>
    <n v="422"/>
    <n v="410330"/>
    <n v="7.74"/>
    <n v="9480"/>
    <n v="680"/>
  </r>
  <r>
    <x v="41"/>
    <x v="1"/>
    <n v="1358"/>
    <n v="242"/>
    <n v="342129"/>
    <n v="4.9400000000000004"/>
    <n v="29116"/>
    <n v="1116"/>
  </r>
  <r>
    <x v="41"/>
    <x v="2"/>
    <n v="1077"/>
    <n v="216"/>
    <n v="12447"/>
    <n v="1.8"/>
    <n v="14068"/>
    <n v="861"/>
  </r>
  <r>
    <x v="41"/>
    <x v="3"/>
    <n v="1596"/>
    <n v="211"/>
    <n v="17380"/>
    <n v="8.64"/>
    <n v="35801"/>
    <n v="1385"/>
  </r>
  <r>
    <x v="42"/>
    <x v="0"/>
    <n v="490"/>
    <n v="29"/>
    <n v="364810"/>
    <n v="1.53"/>
    <n v="49077"/>
    <n v="461"/>
  </r>
  <r>
    <x v="42"/>
    <x v="1"/>
    <n v="609"/>
    <n v="135"/>
    <n v="373606"/>
    <n v="8.52"/>
    <n v="21453"/>
    <n v="474"/>
  </r>
  <r>
    <x v="42"/>
    <x v="2"/>
    <n v="364"/>
    <n v="72"/>
    <n v="211090"/>
    <n v="5.53"/>
    <n v="21061"/>
    <n v="292"/>
  </r>
  <r>
    <x v="42"/>
    <x v="3"/>
    <n v="442"/>
    <n v="53"/>
    <n v="441931"/>
    <n v="1.87"/>
    <n v="20059"/>
    <n v="389"/>
  </r>
  <r>
    <x v="43"/>
    <x v="0"/>
    <n v="1033"/>
    <n v="392"/>
    <n v="282780"/>
    <n v="6.27"/>
    <n v="23140"/>
    <n v="641"/>
  </r>
  <r>
    <x v="43"/>
    <x v="1"/>
    <n v="988"/>
    <n v="474"/>
    <n v="370070"/>
    <n v="9.4600000000000009"/>
    <n v="23461"/>
    <n v="514"/>
  </r>
  <r>
    <x v="43"/>
    <x v="2"/>
    <n v="1946"/>
    <n v="270"/>
    <n v="198350"/>
    <n v="7.5"/>
    <n v="11805"/>
    <n v="1676"/>
  </r>
  <r>
    <x v="43"/>
    <x v="3"/>
    <n v="1957"/>
    <n v="490"/>
    <n v="435726"/>
    <n v="4.7300000000000004"/>
    <n v="15969"/>
    <n v="1467"/>
  </r>
  <r>
    <x v="44"/>
    <x v="0"/>
    <n v="559"/>
    <n v="392"/>
    <n v="78789"/>
    <n v="3.19"/>
    <n v="2436"/>
    <n v="167"/>
  </r>
  <r>
    <x v="44"/>
    <x v="1"/>
    <n v="1307"/>
    <n v="278"/>
    <n v="98596"/>
    <n v="2.4900000000000002"/>
    <n v="47603"/>
    <n v="1029"/>
  </r>
  <r>
    <x v="44"/>
    <x v="2"/>
    <n v="1432"/>
    <n v="425"/>
    <n v="29589"/>
    <n v="4.5"/>
    <n v="42964"/>
    <n v="1007"/>
  </r>
  <r>
    <x v="44"/>
    <x v="3"/>
    <n v="623"/>
    <n v="414"/>
    <n v="290354"/>
    <n v="6.49"/>
    <n v="39923"/>
    <n v="209"/>
  </r>
  <r>
    <x v="45"/>
    <x v="0"/>
    <n v="198"/>
    <n v="358"/>
    <n v="66682"/>
    <n v="6.73"/>
    <n v="2293"/>
    <n v="-160"/>
  </r>
  <r>
    <x v="45"/>
    <x v="1"/>
    <n v="198"/>
    <n v="373"/>
    <n v="70707"/>
    <n v="4.83"/>
    <n v="25920"/>
    <n v="-175"/>
  </r>
  <r>
    <x v="45"/>
    <x v="2"/>
    <n v="353"/>
    <n v="300"/>
    <n v="142507"/>
    <n v="5.3"/>
    <n v="11035"/>
    <n v="53"/>
  </r>
  <r>
    <x v="45"/>
    <x v="3"/>
    <n v="520"/>
    <n v="375"/>
    <n v="369525"/>
    <n v="6.54"/>
    <n v="20733"/>
    <n v="145"/>
  </r>
  <r>
    <x v="46"/>
    <x v="0"/>
    <n v="961"/>
    <n v="358"/>
    <n v="62942"/>
    <n v="6.8"/>
    <n v="18693"/>
    <n v="603"/>
  </r>
  <r>
    <x v="46"/>
    <x v="1"/>
    <n v="1375"/>
    <n v="330"/>
    <n v="377382"/>
    <n v="2.6"/>
    <n v="7875"/>
    <n v="1045"/>
  </r>
  <r>
    <x v="46"/>
    <x v="2"/>
    <n v="1147"/>
    <n v="388"/>
    <n v="333851"/>
    <n v="2.44"/>
    <n v="8471"/>
    <n v="759"/>
  </r>
  <r>
    <x v="46"/>
    <x v="3"/>
    <n v="1707"/>
    <n v="74"/>
    <n v="270958"/>
    <n v="3.09"/>
    <n v="14090"/>
    <n v="1633"/>
  </r>
  <r>
    <x v="47"/>
    <x v="0"/>
    <n v="1693"/>
    <n v="154"/>
    <n v="445944"/>
    <n v="5.69"/>
    <n v="14216"/>
    <n v="1539"/>
  </r>
  <r>
    <x v="47"/>
    <x v="1"/>
    <n v="833"/>
    <n v="380"/>
    <n v="224830"/>
    <n v="3.86"/>
    <n v="3582"/>
    <n v="453"/>
  </r>
  <r>
    <x v="47"/>
    <x v="2"/>
    <n v="1222"/>
    <n v="274"/>
    <n v="487289"/>
    <n v="3.16"/>
    <n v="32500"/>
    <n v="948"/>
  </r>
  <r>
    <x v="47"/>
    <x v="3"/>
    <n v="777"/>
    <n v="140"/>
    <n v="11435"/>
    <n v="1.6"/>
    <n v="6832"/>
    <n v="637"/>
  </r>
  <r>
    <x v="48"/>
    <x v="0"/>
    <n v="1957"/>
    <n v="76"/>
    <n v="447902"/>
    <n v="6.09"/>
    <n v="33381"/>
    <n v="1881"/>
  </r>
  <r>
    <x v="48"/>
    <x v="1"/>
    <n v="405"/>
    <n v="66"/>
    <n v="418696"/>
    <n v="5.59"/>
    <n v="48419"/>
    <n v="339"/>
  </r>
  <r>
    <x v="48"/>
    <x v="2"/>
    <n v="1581"/>
    <n v="71"/>
    <n v="484364"/>
    <n v="3.55"/>
    <n v="16149"/>
    <n v="1510"/>
  </r>
  <r>
    <x v="48"/>
    <x v="3"/>
    <n v="1035"/>
    <n v="171"/>
    <n v="148477"/>
    <n v="5.21"/>
    <n v="7541"/>
    <n v="864"/>
  </r>
  <r>
    <x v="49"/>
    <x v="0"/>
    <n v="1765"/>
    <n v="109"/>
    <n v="468301"/>
    <n v="1.82"/>
    <n v="20042"/>
    <n v="1656"/>
  </r>
  <r>
    <x v="49"/>
    <x v="1"/>
    <n v="837"/>
    <n v="430"/>
    <n v="364820"/>
    <n v="4"/>
    <n v="49400"/>
    <n v="407"/>
  </r>
  <r>
    <x v="49"/>
    <x v="2"/>
    <n v="337"/>
    <n v="68"/>
    <n v="456298"/>
    <n v="7.57"/>
    <n v="4007"/>
    <n v="269"/>
  </r>
  <r>
    <x v="49"/>
    <x v="3"/>
    <n v="119"/>
    <n v="456"/>
    <n v="82558"/>
    <n v="6.81"/>
    <n v="12174"/>
    <n v="-3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x v="0"/>
    <n v="8.06"/>
    <n v="5904"/>
    <x v="0"/>
    <x v="0"/>
  </r>
  <r>
    <x v="0"/>
    <x v="1"/>
    <n v="1312"/>
    <n v="310"/>
    <x v="1"/>
    <n v="4.9800000000000004"/>
    <n v="9566"/>
    <x v="1"/>
    <x v="1"/>
  </r>
  <r>
    <x v="0"/>
    <x v="2"/>
    <n v="584"/>
    <n v="169"/>
    <x v="2"/>
    <n v="8.31"/>
    <n v="26752"/>
    <x v="2"/>
    <x v="2"/>
  </r>
  <r>
    <x v="0"/>
    <x v="3"/>
    <n v="1535"/>
    <n v="445"/>
    <x v="3"/>
    <n v="4.1100000000000003"/>
    <n v="30671"/>
    <x v="3"/>
    <x v="3"/>
  </r>
  <r>
    <x v="1"/>
    <x v="0"/>
    <n v="656"/>
    <n v="139"/>
    <x v="4"/>
    <n v="9.0500000000000007"/>
    <n v="9920"/>
    <x v="4"/>
    <x v="4"/>
  </r>
  <r>
    <x v="1"/>
    <x v="1"/>
    <n v="1697"/>
    <n v="414"/>
    <x v="5"/>
    <n v="2.37"/>
    <n v="7924"/>
    <x v="5"/>
    <x v="5"/>
  </r>
  <r>
    <x v="1"/>
    <x v="2"/>
    <n v="436"/>
    <n v="250"/>
    <x v="6"/>
    <n v="4.01"/>
    <n v="8912"/>
    <x v="6"/>
    <x v="6"/>
  </r>
  <r>
    <x v="1"/>
    <x v="3"/>
    <n v="1197"/>
    <n v="203"/>
    <x v="7"/>
    <n v="3.16"/>
    <n v="21205"/>
    <x v="7"/>
    <x v="7"/>
  </r>
  <r>
    <x v="2"/>
    <x v="0"/>
    <n v="1048"/>
    <n v="155"/>
    <x v="8"/>
    <n v="2.46"/>
    <n v="11329"/>
    <x v="8"/>
    <x v="8"/>
  </r>
  <r>
    <x v="2"/>
    <x v="1"/>
    <n v="1753"/>
    <n v="371"/>
    <x v="9"/>
    <n v="8.11"/>
    <n v="46670"/>
    <x v="9"/>
    <x v="9"/>
  </r>
  <r>
    <x v="2"/>
    <x v="2"/>
    <n v="1335"/>
    <n v="40"/>
    <x v="10"/>
    <n v="8.19"/>
    <n v="22482"/>
    <x v="10"/>
    <x v="10"/>
  </r>
  <r>
    <x v="2"/>
    <x v="3"/>
    <n v="403"/>
    <n v="66"/>
    <x v="11"/>
    <n v="3.49"/>
    <n v="24313"/>
    <x v="11"/>
    <x v="11"/>
  </r>
  <r>
    <x v="3"/>
    <x v="0"/>
    <n v="911"/>
    <n v="282"/>
    <x v="12"/>
    <n v="6.92"/>
    <n v="18050"/>
    <x v="12"/>
    <x v="12"/>
  </r>
  <r>
    <x v="3"/>
    <x v="1"/>
    <n v="1779"/>
    <n v="109"/>
    <x v="13"/>
    <n v="9.1199999999999992"/>
    <n v="30635"/>
    <x v="13"/>
    <x v="13"/>
  </r>
  <r>
    <x v="3"/>
    <x v="2"/>
    <n v="1238"/>
    <n v="403"/>
    <x v="14"/>
    <n v="3.5"/>
    <n v="31280"/>
    <x v="14"/>
    <x v="14"/>
  </r>
  <r>
    <x v="3"/>
    <x v="3"/>
    <n v="308"/>
    <n v="431"/>
    <x v="15"/>
    <n v="2.62"/>
    <n v="1783"/>
    <x v="15"/>
    <x v="15"/>
  </r>
  <r>
    <x v="4"/>
    <x v="0"/>
    <n v="226"/>
    <n v="445"/>
    <x v="16"/>
    <n v="9.36"/>
    <n v="9566"/>
    <x v="16"/>
    <x v="16"/>
  </r>
  <r>
    <x v="4"/>
    <x v="1"/>
    <n v="505"/>
    <n v="441"/>
    <x v="17"/>
    <n v="4.4800000000000004"/>
    <n v="42307"/>
    <x v="17"/>
    <x v="17"/>
  </r>
  <r>
    <x v="4"/>
    <x v="2"/>
    <n v="1420"/>
    <n v="63"/>
    <x v="18"/>
    <n v="6.19"/>
    <n v="5914"/>
    <x v="18"/>
    <x v="18"/>
  </r>
  <r>
    <x v="4"/>
    <x v="3"/>
    <n v="144"/>
    <n v="53"/>
    <x v="19"/>
    <n v="8.7200000000000006"/>
    <n v="30060"/>
    <x v="19"/>
    <x v="19"/>
  </r>
  <r>
    <x v="5"/>
    <x v="0"/>
    <n v="1757"/>
    <n v="85"/>
    <x v="20"/>
    <n v="8.74"/>
    <n v="22728"/>
    <x v="20"/>
    <x v="20"/>
  </r>
  <r>
    <x v="5"/>
    <x v="1"/>
    <n v="350"/>
    <n v="41"/>
    <x v="21"/>
    <n v="1.91"/>
    <n v="38610"/>
    <x v="21"/>
    <x v="21"/>
  </r>
  <r>
    <x v="5"/>
    <x v="2"/>
    <n v="987"/>
    <n v="440"/>
    <x v="22"/>
    <n v="4.66"/>
    <n v="2932"/>
    <x v="22"/>
    <x v="22"/>
  </r>
  <r>
    <x v="5"/>
    <x v="3"/>
    <n v="883"/>
    <n v="369"/>
    <x v="23"/>
    <n v="2.88"/>
    <n v="15071"/>
    <x v="23"/>
    <x v="23"/>
  </r>
  <r>
    <x v="6"/>
    <x v="0"/>
    <n v="1960"/>
    <n v="115"/>
    <x v="24"/>
    <n v="3.74"/>
    <n v="10740"/>
    <x v="24"/>
    <x v="24"/>
  </r>
  <r>
    <x v="6"/>
    <x v="1"/>
    <n v="170"/>
    <n v="334"/>
    <x v="25"/>
    <n v="6.44"/>
    <n v="43420"/>
    <x v="25"/>
    <x v="25"/>
  </r>
  <r>
    <x v="6"/>
    <x v="2"/>
    <n v="704"/>
    <n v="275"/>
    <x v="26"/>
    <n v="8.56"/>
    <n v="32393"/>
    <x v="26"/>
    <x v="26"/>
  </r>
  <r>
    <x v="6"/>
    <x v="3"/>
    <n v="224"/>
    <n v="64"/>
    <x v="27"/>
    <n v="4.5599999999999996"/>
    <n v="28474"/>
    <x v="27"/>
    <x v="27"/>
  </r>
  <r>
    <x v="7"/>
    <x v="0"/>
    <n v="508"/>
    <n v="349"/>
    <x v="28"/>
    <n v="7.88"/>
    <n v="17328"/>
    <x v="28"/>
    <x v="28"/>
  </r>
  <r>
    <x v="7"/>
    <x v="1"/>
    <n v="1391"/>
    <n v="430"/>
    <x v="29"/>
    <n v="7.86"/>
    <n v="26067"/>
    <x v="29"/>
    <x v="29"/>
  </r>
  <r>
    <x v="7"/>
    <x v="2"/>
    <n v="1701"/>
    <n v="385"/>
    <x v="30"/>
    <n v="5.34"/>
    <n v="32763"/>
    <x v="30"/>
    <x v="30"/>
  </r>
  <r>
    <x v="7"/>
    <x v="3"/>
    <n v="804"/>
    <n v="487"/>
    <x v="31"/>
    <n v="5.52"/>
    <n v="26452"/>
    <x v="31"/>
    <x v="31"/>
  </r>
  <r>
    <x v="8"/>
    <x v="0"/>
    <n v="653"/>
    <n v="112"/>
    <x v="32"/>
    <n v="4.05"/>
    <n v="15353"/>
    <x v="32"/>
    <x v="32"/>
  </r>
  <r>
    <x v="8"/>
    <x v="1"/>
    <n v="160"/>
    <n v="478"/>
    <x v="33"/>
    <n v="7.73"/>
    <n v="4839"/>
    <x v="33"/>
    <x v="33"/>
  </r>
  <r>
    <x v="8"/>
    <x v="2"/>
    <n v="1756"/>
    <n v="261"/>
    <x v="34"/>
    <n v="4.3600000000000003"/>
    <n v="39272"/>
    <x v="34"/>
    <x v="34"/>
  </r>
  <r>
    <x v="8"/>
    <x v="3"/>
    <n v="576"/>
    <n v="101"/>
    <x v="35"/>
    <n v="3.48"/>
    <n v="16804"/>
    <x v="35"/>
    <x v="35"/>
  </r>
  <r>
    <x v="9"/>
    <x v="0"/>
    <n v="645"/>
    <n v="293"/>
    <x v="36"/>
    <n v="7.83"/>
    <n v="49303"/>
    <x v="36"/>
    <x v="36"/>
  </r>
  <r>
    <x v="9"/>
    <x v="1"/>
    <n v="214"/>
    <n v="411"/>
    <x v="37"/>
    <n v="6.11"/>
    <n v="26455"/>
    <x v="37"/>
    <x v="37"/>
  </r>
  <r>
    <x v="9"/>
    <x v="2"/>
    <n v="826"/>
    <n v="498"/>
    <x v="38"/>
    <n v="9.43"/>
    <n v="12384"/>
    <x v="38"/>
    <x v="38"/>
  </r>
  <r>
    <x v="9"/>
    <x v="3"/>
    <n v="460"/>
    <n v="141"/>
    <x v="39"/>
    <n v="4.04"/>
    <n v="49372"/>
    <x v="39"/>
    <x v="39"/>
  </r>
  <r>
    <x v="10"/>
    <x v="0"/>
    <n v="1528"/>
    <n v="203"/>
    <x v="40"/>
    <n v="6.23"/>
    <n v="47101"/>
    <x v="40"/>
    <x v="40"/>
  </r>
  <r>
    <x v="10"/>
    <x v="1"/>
    <n v="1534"/>
    <n v="200"/>
    <x v="41"/>
    <n v="6.01"/>
    <n v="37903"/>
    <x v="41"/>
    <x v="41"/>
  </r>
  <r>
    <x v="10"/>
    <x v="2"/>
    <n v="485"/>
    <n v="448"/>
    <x v="42"/>
    <n v="8.5500000000000007"/>
    <n v="33258"/>
    <x v="42"/>
    <x v="42"/>
  </r>
  <r>
    <x v="10"/>
    <x v="3"/>
    <n v="1210"/>
    <n v="178"/>
    <x v="43"/>
    <n v="5.42"/>
    <n v="6915"/>
    <x v="43"/>
    <x v="43"/>
  </r>
  <r>
    <x v="11"/>
    <x v="0"/>
    <n v="215"/>
    <n v="139"/>
    <x v="44"/>
    <n v="3.25"/>
    <n v="35501"/>
    <x v="44"/>
    <x v="44"/>
  </r>
  <r>
    <x v="11"/>
    <x v="1"/>
    <n v="1078"/>
    <n v="20"/>
    <x v="45"/>
    <n v="8.84"/>
    <n v="14203"/>
    <x v="45"/>
    <x v="45"/>
  </r>
  <r>
    <x v="11"/>
    <x v="2"/>
    <n v="1751"/>
    <n v="86"/>
    <x v="46"/>
    <n v="7.24"/>
    <n v="22206"/>
    <x v="46"/>
    <x v="46"/>
  </r>
  <r>
    <x v="11"/>
    <x v="3"/>
    <n v="221"/>
    <n v="31"/>
    <x v="47"/>
    <n v="6.19"/>
    <n v="10283"/>
    <x v="47"/>
    <x v="47"/>
  </r>
  <r>
    <x v="12"/>
    <x v="0"/>
    <n v="1685"/>
    <n v="76"/>
    <x v="48"/>
    <n v="5.71"/>
    <n v="24913"/>
    <x v="48"/>
    <x v="48"/>
  </r>
  <r>
    <x v="12"/>
    <x v="1"/>
    <n v="248"/>
    <n v="211"/>
    <x v="49"/>
    <n v="9.0399999999999991"/>
    <n v="26925"/>
    <x v="42"/>
    <x v="49"/>
  </r>
  <r>
    <x v="12"/>
    <x v="2"/>
    <n v="1300"/>
    <n v="71"/>
    <x v="50"/>
    <n v="3.91"/>
    <n v="9942"/>
    <x v="49"/>
    <x v="50"/>
  </r>
  <r>
    <x v="12"/>
    <x v="3"/>
    <n v="422"/>
    <n v="394"/>
    <x v="51"/>
    <n v="7.83"/>
    <n v="32929"/>
    <x v="50"/>
    <x v="51"/>
  </r>
  <r>
    <x v="13"/>
    <x v="0"/>
    <n v="1429"/>
    <n v="182"/>
    <x v="52"/>
    <n v="7.16"/>
    <n v="37829"/>
    <x v="51"/>
    <x v="52"/>
  </r>
  <r>
    <x v="13"/>
    <x v="1"/>
    <n v="1520"/>
    <n v="475"/>
    <x v="53"/>
    <n v="6.41"/>
    <n v="24384"/>
    <x v="52"/>
    <x v="53"/>
  </r>
  <r>
    <x v="13"/>
    <x v="2"/>
    <n v="557"/>
    <n v="360"/>
    <x v="54"/>
    <n v="8.02"/>
    <n v="25797"/>
    <x v="53"/>
    <x v="54"/>
  </r>
  <r>
    <x v="13"/>
    <x v="3"/>
    <n v="728"/>
    <n v="395"/>
    <x v="55"/>
    <n v="3.86"/>
    <n v="12646"/>
    <x v="54"/>
    <x v="55"/>
  </r>
  <r>
    <x v="14"/>
    <x v="0"/>
    <n v="1592"/>
    <n v="20"/>
    <x v="56"/>
    <n v="9.09"/>
    <n v="26663"/>
    <x v="55"/>
    <x v="56"/>
  </r>
  <r>
    <x v="14"/>
    <x v="1"/>
    <n v="1842"/>
    <n v="414"/>
    <x v="57"/>
    <n v="1.76"/>
    <n v="40478"/>
    <x v="56"/>
    <x v="57"/>
  </r>
  <r>
    <x v="14"/>
    <x v="2"/>
    <n v="751"/>
    <n v="491"/>
    <x v="58"/>
    <n v="9.24"/>
    <n v="15476"/>
    <x v="57"/>
    <x v="58"/>
  </r>
  <r>
    <x v="14"/>
    <x v="3"/>
    <n v="1409"/>
    <n v="309"/>
    <x v="59"/>
    <n v="8.99"/>
    <n v="10217"/>
    <x v="58"/>
    <x v="59"/>
  </r>
  <r>
    <x v="15"/>
    <x v="0"/>
    <n v="778"/>
    <n v="401"/>
    <x v="60"/>
    <n v="3.4"/>
    <n v="21939"/>
    <x v="59"/>
    <x v="60"/>
  </r>
  <r>
    <x v="15"/>
    <x v="1"/>
    <n v="443"/>
    <n v="345"/>
    <x v="61"/>
    <n v="9.1999999999999993"/>
    <n v="47462"/>
    <x v="60"/>
    <x v="61"/>
  </r>
  <r>
    <x v="15"/>
    <x v="2"/>
    <n v="1472"/>
    <n v="347"/>
    <x v="62"/>
    <n v="8.59"/>
    <n v="30270"/>
    <x v="61"/>
    <x v="62"/>
  </r>
  <r>
    <x v="15"/>
    <x v="3"/>
    <n v="123"/>
    <n v="155"/>
    <x v="63"/>
    <n v="3.5"/>
    <n v="5442"/>
    <x v="62"/>
    <x v="63"/>
  </r>
  <r>
    <x v="16"/>
    <x v="0"/>
    <n v="817"/>
    <n v="151"/>
    <x v="64"/>
    <n v="2.36"/>
    <n v="1083"/>
    <x v="63"/>
    <x v="64"/>
  </r>
  <r>
    <x v="16"/>
    <x v="1"/>
    <n v="198"/>
    <n v="217"/>
    <x v="65"/>
    <n v="7.36"/>
    <n v="11901"/>
    <x v="64"/>
    <x v="65"/>
  </r>
  <r>
    <x v="16"/>
    <x v="2"/>
    <n v="1911"/>
    <n v="231"/>
    <x v="66"/>
    <n v="8.5500000000000007"/>
    <n v="24018"/>
    <x v="65"/>
    <x v="66"/>
  </r>
  <r>
    <x v="16"/>
    <x v="3"/>
    <n v="1218"/>
    <n v="212"/>
    <x v="67"/>
    <n v="8.1300000000000008"/>
    <n v="38883"/>
    <x v="66"/>
    <x v="67"/>
  </r>
  <r>
    <x v="17"/>
    <x v="0"/>
    <n v="1433"/>
    <n v="408"/>
    <x v="68"/>
    <n v="3.3"/>
    <n v="30575"/>
    <x v="67"/>
    <x v="68"/>
  </r>
  <r>
    <x v="17"/>
    <x v="1"/>
    <n v="250"/>
    <n v="429"/>
    <x v="69"/>
    <n v="1.77"/>
    <n v="2315"/>
    <x v="68"/>
    <x v="69"/>
  </r>
  <r>
    <x v="17"/>
    <x v="2"/>
    <n v="752"/>
    <n v="153"/>
    <x v="70"/>
    <n v="2.09"/>
    <n v="12148"/>
    <x v="69"/>
    <x v="70"/>
  </r>
  <r>
    <x v="17"/>
    <x v="3"/>
    <n v="1918"/>
    <n v="212"/>
    <x v="71"/>
    <n v="7.36"/>
    <n v="36851"/>
    <x v="70"/>
    <x v="71"/>
  </r>
  <r>
    <x v="18"/>
    <x v="0"/>
    <n v="1939"/>
    <n v="67"/>
    <x v="72"/>
    <n v="6.25"/>
    <n v="41215"/>
    <x v="71"/>
    <x v="72"/>
  </r>
  <r>
    <x v="18"/>
    <x v="1"/>
    <n v="1929"/>
    <n v="267"/>
    <x v="73"/>
    <n v="1.75"/>
    <n v="43836"/>
    <x v="72"/>
    <x v="73"/>
  </r>
  <r>
    <x v="18"/>
    <x v="2"/>
    <n v="437"/>
    <n v="330"/>
    <x v="74"/>
    <n v="4.97"/>
    <n v="4509"/>
    <x v="73"/>
    <x v="74"/>
  </r>
  <r>
    <x v="18"/>
    <x v="3"/>
    <n v="307"/>
    <n v="189"/>
    <x v="75"/>
    <n v="9.3000000000000007"/>
    <n v="27822"/>
    <x v="74"/>
    <x v="75"/>
  </r>
  <r>
    <x v="19"/>
    <x v="0"/>
    <n v="1527"/>
    <n v="303"/>
    <x v="76"/>
    <n v="8.9"/>
    <n v="36397"/>
    <x v="75"/>
    <x v="76"/>
  </r>
  <r>
    <x v="19"/>
    <x v="1"/>
    <n v="643"/>
    <n v="358"/>
    <x v="77"/>
    <n v="3.88"/>
    <n v="7285"/>
    <x v="76"/>
    <x v="77"/>
  </r>
  <r>
    <x v="19"/>
    <x v="2"/>
    <n v="201"/>
    <n v="221"/>
    <x v="78"/>
    <n v="5.9"/>
    <n v="33174"/>
    <x v="77"/>
    <x v="78"/>
  </r>
  <r>
    <x v="19"/>
    <x v="3"/>
    <n v="414"/>
    <n v="47"/>
    <x v="79"/>
    <n v="1.53"/>
    <n v="6742"/>
    <x v="78"/>
    <x v="79"/>
  </r>
  <r>
    <x v="20"/>
    <x v="0"/>
    <n v="703"/>
    <n v="441"/>
    <x v="80"/>
    <n v="6.5"/>
    <n v="32478"/>
    <x v="79"/>
    <x v="80"/>
  </r>
  <r>
    <x v="20"/>
    <x v="1"/>
    <n v="508"/>
    <n v="69"/>
    <x v="81"/>
    <n v="3.16"/>
    <n v="42824"/>
    <x v="80"/>
    <x v="81"/>
  </r>
  <r>
    <x v="20"/>
    <x v="2"/>
    <n v="697"/>
    <n v="61"/>
    <x v="82"/>
    <n v="8.25"/>
    <n v="21208"/>
    <x v="81"/>
    <x v="82"/>
  </r>
  <r>
    <x v="20"/>
    <x v="3"/>
    <n v="1707"/>
    <n v="223"/>
    <x v="83"/>
    <n v="5.41"/>
    <n v="44321"/>
    <x v="82"/>
    <x v="83"/>
  </r>
  <r>
    <x v="21"/>
    <x v="0"/>
    <n v="642"/>
    <n v="66"/>
    <x v="84"/>
    <n v="5.85"/>
    <n v="13116"/>
    <x v="83"/>
    <x v="84"/>
  </r>
  <r>
    <x v="21"/>
    <x v="1"/>
    <n v="859"/>
    <n v="473"/>
    <x v="85"/>
    <n v="4.46"/>
    <n v="30214"/>
    <x v="84"/>
    <x v="85"/>
  </r>
  <r>
    <x v="21"/>
    <x v="2"/>
    <n v="191"/>
    <n v="154"/>
    <x v="86"/>
    <n v="5.22"/>
    <n v="15827"/>
    <x v="42"/>
    <x v="86"/>
  </r>
  <r>
    <x v="21"/>
    <x v="3"/>
    <n v="1814"/>
    <n v="157"/>
    <x v="87"/>
    <n v="1.99"/>
    <n v="46643"/>
    <x v="85"/>
    <x v="87"/>
  </r>
  <r>
    <x v="22"/>
    <x v="0"/>
    <n v="1466"/>
    <n v="69"/>
    <x v="88"/>
    <n v="6.85"/>
    <n v="36484"/>
    <x v="86"/>
    <x v="88"/>
  </r>
  <r>
    <x v="22"/>
    <x v="1"/>
    <n v="947"/>
    <n v="407"/>
    <x v="89"/>
    <n v="3.32"/>
    <n v="4996"/>
    <x v="87"/>
    <x v="89"/>
  </r>
  <r>
    <x v="22"/>
    <x v="2"/>
    <n v="1821"/>
    <n v="218"/>
    <x v="90"/>
    <n v="5.68"/>
    <n v="36095"/>
    <x v="88"/>
    <x v="90"/>
  </r>
  <r>
    <x v="22"/>
    <x v="3"/>
    <n v="1507"/>
    <n v="463"/>
    <x v="91"/>
    <n v="6.08"/>
    <n v="16443"/>
    <x v="89"/>
    <x v="91"/>
  </r>
  <r>
    <x v="23"/>
    <x v="0"/>
    <n v="1075"/>
    <n v="173"/>
    <x v="92"/>
    <n v="4.66"/>
    <n v="47812"/>
    <x v="90"/>
    <x v="92"/>
  </r>
  <r>
    <x v="23"/>
    <x v="1"/>
    <n v="171"/>
    <n v="277"/>
    <x v="93"/>
    <n v="8.6999999999999993"/>
    <n v="38452"/>
    <x v="91"/>
    <x v="93"/>
  </r>
  <r>
    <x v="23"/>
    <x v="2"/>
    <n v="1487"/>
    <n v="337"/>
    <x v="94"/>
    <n v="2.46"/>
    <n v="30428"/>
    <x v="92"/>
    <x v="94"/>
  </r>
  <r>
    <x v="23"/>
    <x v="3"/>
    <n v="454"/>
    <n v="105"/>
    <x v="95"/>
    <n v="7.97"/>
    <n v="9269"/>
    <x v="93"/>
    <x v="95"/>
  </r>
  <r>
    <x v="24"/>
    <x v="0"/>
    <n v="187"/>
    <n v="236"/>
    <x v="96"/>
    <n v="9.41"/>
    <n v="29533"/>
    <x v="94"/>
    <x v="96"/>
  </r>
  <r>
    <x v="24"/>
    <x v="1"/>
    <n v="513"/>
    <n v="441"/>
    <x v="97"/>
    <n v="2.68"/>
    <n v="39997"/>
    <x v="95"/>
    <x v="97"/>
  </r>
  <r>
    <x v="24"/>
    <x v="2"/>
    <n v="628"/>
    <n v="183"/>
    <x v="98"/>
    <n v="7.32"/>
    <n v="5391"/>
    <x v="96"/>
    <x v="98"/>
  </r>
  <r>
    <x v="24"/>
    <x v="3"/>
    <n v="278"/>
    <n v="218"/>
    <x v="99"/>
    <n v="4.68"/>
    <n v="22373"/>
    <x v="97"/>
    <x v="99"/>
  </r>
  <r>
    <x v="25"/>
    <x v="0"/>
    <n v="1854"/>
    <n v="161"/>
    <x v="100"/>
    <n v="5.17"/>
    <n v="1810"/>
    <x v="98"/>
    <x v="100"/>
  </r>
  <r>
    <x v="25"/>
    <x v="1"/>
    <n v="1710"/>
    <n v="378"/>
    <x v="101"/>
    <n v="6.2"/>
    <n v="28498"/>
    <x v="99"/>
    <x v="101"/>
  </r>
  <r>
    <x v="25"/>
    <x v="2"/>
    <n v="330"/>
    <n v="232"/>
    <x v="102"/>
    <n v="2.69"/>
    <n v="39530"/>
    <x v="60"/>
    <x v="102"/>
  </r>
  <r>
    <x v="25"/>
    <x v="3"/>
    <n v="1293"/>
    <n v="408"/>
    <x v="103"/>
    <n v="8.9"/>
    <n v="37876"/>
    <x v="100"/>
    <x v="103"/>
  </r>
  <r>
    <x v="26"/>
    <x v="0"/>
    <n v="1696"/>
    <n v="71"/>
    <x v="104"/>
    <n v="3.79"/>
    <n v="36103"/>
    <x v="101"/>
    <x v="104"/>
  </r>
  <r>
    <x v="26"/>
    <x v="1"/>
    <n v="1902"/>
    <n v="196"/>
    <x v="105"/>
    <n v="4.79"/>
    <n v="26103"/>
    <x v="70"/>
    <x v="105"/>
  </r>
  <r>
    <x v="26"/>
    <x v="2"/>
    <n v="1441"/>
    <n v="268"/>
    <x v="106"/>
    <n v="6.37"/>
    <n v="3455"/>
    <x v="102"/>
    <x v="106"/>
  </r>
  <r>
    <x v="26"/>
    <x v="3"/>
    <n v="452"/>
    <n v="161"/>
    <x v="107"/>
    <n v="2.65"/>
    <n v="40888"/>
    <x v="103"/>
    <x v="107"/>
  </r>
  <r>
    <x v="27"/>
    <x v="0"/>
    <n v="1494"/>
    <n v="375"/>
    <x v="108"/>
    <n v="1.81"/>
    <n v="22724"/>
    <x v="104"/>
    <x v="108"/>
  </r>
  <r>
    <x v="27"/>
    <x v="1"/>
    <n v="1514"/>
    <n v="141"/>
    <x v="109"/>
    <n v="7.47"/>
    <n v="18601"/>
    <x v="105"/>
    <x v="109"/>
  </r>
  <r>
    <x v="27"/>
    <x v="2"/>
    <n v="1937"/>
    <n v="210"/>
    <x v="110"/>
    <n v="4.2"/>
    <n v="20861"/>
    <x v="106"/>
    <x v="110"/>
  </r>
  <r>
    <x v="27"/>
    <x v="3"/>
    <n v="736"/>
    <n v="163"/>
    <x v="111"/>
    <n v="5.43"/>
    <n v="46625"/>
    <x v="107"/>
    <x v="111"/>
  </r>
  <r>
    <x v="28"/>
    <x v="0"/>
    <n v="1502"/>
    <n v="70"/>
    <x v="112"/>
    <n v="3.32"/>
    <n v="20692"/>
    <x v="108"/>
    <x v="112"/>
  </r>
  <r>
    <x v="28"/>
    <x v="1"/>
    <n v="1623"/>
    <n v="246"/>
    <x v="113"/>
    <n v="8.11"/>
    <n v="18656"/>
    <x v="109"/>
    <x v="113"/>
  </r>
  <r>
    <x v="28"/>
    <x v="2"/>
    <n v="1592"/>
    <n v="233"/>
    <x v="114"/>
    <n v="6.66"/>
    <n v="13316"/>
    <x v="110"/>
    <x v="114"/>
  </r>
  <r>
    <x v="28"/>
    <x v="3"/>
    <n v="1004"/>
    <n v="128"/>
    <x v="115"/>
    <n v="8.09"/>
    <n v="49558"/>
    <x v="111"/>
    <x v="115"/>
  </r>
  <r>
    <x v="29"/>
    <x v="0"/>
    <n v="1092"/>
    <n v="408"/>
    <x v="116"/>
    <n v="8.44"/>
    <n v="4683"/>
    <x v="112"/>
    <x v="116"/>
  </r>
  <r>
    <x v="29"/>
    <x v="1"/>
    <n v="1155"/>
    <n v="425"/>
    <x v="117"/>
    <n v="2.02"/>
    <n v="47502"/>
    <x v="113"/>
    <x v="117"/>
  </r>
  <r>
    <x v="29"/>
    <x v="2"/>
    <n v="1137"/>
    <n v="226"/>
    <x v="118"/>
    <n v="7.74"/>
    <n v="35359"/>
    <x v="114"/>
    <x v="118"/>
  </r>
  <r>
    <x v="29"/>
    <x v="3"/>
    <n v="1900"/>
    <n v="311"/>
    <x v="119"/>
    <n v="2.89"/>
    <n v="14154"/>
    <x v="115"/>
    <x v="119"/>
  </r>
  <r>
    <x v="30"/>
    <x v="0"/>
    <n v="1814"/>
    <n v="49"/>
    <x v="120"/>
    <n v="1.76"/>
    <n v="4313"/>
    <x v="116"/>
    <x v="120"/>
  </r>
  <r>
    <x v="30"/>
    <x v="1"/>
    <n v="1980"/>
    <n v="204"/>
    <x v="121"/>
    <n v="3.09"/>
    <n v="25140"/>
    <x v="117"/>
    <x v="121"/>
  </r>
  <r>
    <x v="30"/>
    <x v="2"/>
    <n v="1786"/>
    <n v="257"/>
    <x v="122"/>
    <n v="4.68"/>
    <n v="9118"/>
    <x v="118"/>
    <x v="122"/>
  </r>
  <r>
    <x v="30"/>
    <x v="3"/>
    <n v="1495"/>
    <n v="35"/>
    <x v="123"/>
    <n v="4.4800000000000004"/>
    <n v="39931"/>
    <x v="119"/>
    <x v="123"/>
  </r>
  <r>
    <x v="31"/>
    <x v="0"/>
    <n v="1013"/>
    <n v="110"/>
    <x v="124"/>
    <n v="5.3"/>
    <n v="37132"/>
    <x v="120"/>
    <x v="124"/>
  </r>
  <r>
    <x v="31"/>
    <x v="1"/>
    <n v="816"/>
    <n v="196"/>
    <x v="125"/>
    <n v="8.1999999999999993"/>
    <n v="17951"/>
    <x v="121"/>
    <x v="125"/>
  </r>
  <r>
    <x v="31"/>
    <x v="2"/>
    <n v="1633"/>
    <n v="445"/>
    <x v="126"/>
    <n v="2.2200000000000002"/>
    <n v="2798"/>
    <x v="122"/>
    <x v="126"/>
  </r>
  <r>
    <x v="31"/>
    <x v="3"/>
    <n v="891"/>
    <n v="45"/>
    <x v="127"/>
    <n v="8.33"/>
    <n v="15045"/>
    <x v="123"/>
    <x v="127"/>
  </r>
  <r>
    <x v="32"/>
    <x v="0"/>
    <n v="1855"/>
    <n v="133"/>
    <x v="128"/>
    <n v="3.3"/>
    <n v="14548"/>
    <x v="124"/>
    <x v="128"/>
  </r>
  <r>
    <x v="32"/>
    <x v="1"/>
    <n v="651"/>
    <n v="353"/>
    <x v="129"/>
    <n v="5.61"/>
    <n v="45708"/>
    <x v="125"/>
    <x v="129"/>
  </r>
  <r>
    <x v="32"/>
    <x v="2"/>
    <n v="118"/>
    <n v="262"/>
    <x v="130"/>
    <n v="2.56"/>
    <n v="12350"/>
    <x v="126"/>
    <x v="130"/>
  </r>
  <r>
    <x v="32"/>
    <x v="3"/>
    <n v="1331"/>
    <n v="430"/>
    <x v="131"/>
    <n v="3.29"/>
    <n v="40868"/>
    <x v="127"/>
    <x v="131"/>
  </r>
  <r>
    <x v="33"/>
    <x v="0"/>
    <n v="1748"/>
    <n v="176"/>
    <x v="132"/>
    <n v="9.24"/>
    <n v="43122"/>
    <x v="55"/>
    <x v="132"/>
  </r>
  <r>
    <x v="33"/>
    <x v="1"/>
    <n v="663"/>
    <n v="236"/>
    <x v="133"/>
    <n v="4.51"/>
    <n v="23853"/>
    <x v="128"/>
    <x v="133"/>
  </r>
  <r>
    <x v="33"/>
    <x v="2"/>
    <n v="1040"/>
    <n v="149"/>
    <x v="134"/>
    <n v="5.23"/>
    <n v="45380"/>
    <x v="129"/>
    <x v="134"/>
  </r>
  <r>
    <x v="33"/>
    <x v="3"/>
    <n v="1166"/>
    <n v="442"/>
    <x v="135"/>
    <n v="4.68"/>
    <n v="7705"/>
    <x v="130"/>
    <x v="135"/>
  </r>
  <r>
    <x v="34"/>
    <x v="0"/>
    <n v="115"/>
    <n v="281"/>
    <x v="136"/>
    <n v="9.23"/>
    <n v="25525"/>
    <x v="131"/>
    <x v="136"/>
  </r>
  <r>
    <x v="34"/>
    <x v="1"/>
    <n v="1249"/>
    <n v="351"/>
    <x v="137"/>
    <n v="6.37"/>
    <n v="20560"/>
    <x v="132"/>
    <x v="137"/>
  </r>
  <r>
    <x v="34"/>
    <x v="2"/>
    <n v="1501"/>
    <n v="75"/>
    <x v="138"/>
    <n v="2.0099999999999998"/>
    <n v="19119"/>
    <x v="133"/>
    <x v="138"/>
  </r>
  <r>
    <x v="34"/>
    <x v="3"/>
    <n v="1411"/>
    <n v="186"/>
    <x v="139"/>
    <n v="3.72"/>
    <n v="43999"/>
    <x v="134"/>
    <x v="139"/>
  </r>
  <r>
    <x v="35"/>
    <x v="0"/>
    <n v="1556"/>
    <n v="476"/>
    <x v="140"/>
    <n v="3.89"/>
    <n v="10825"/>
    <x v="135"/>
    <x v="140"/>
  </r>
  <r>
    <x v="35"/>
    <x v="1"/>
    <n v="1159"/>
    <n v="411"/>
    <x v="141"/>
    <n v="8.6999999999999993"/>
    <n v="40323"/>
    <x v="136"/>
    <x v="141"/>
  </r>
  <r>
    <x v="35"/>
    <x v="2"/>
    <n v="927"/>
    <n v="358"/>
    <x v="142"/>
    <n v="6.95"/>
    <n v="48270"/>
    <x v="137"/>
    <x v="142"/>
  </r>
  <r>
    <x v="35"/>
    <x v="3"/>
    <n v="152"/>
    <n v="355"/>
    <x v="143"/>
    <n v="9.48"/>
    <n v="18001"/>
    <x v="138"/>
    <x v="143"/>
  </r>
  <r>
    <x v="36"/>
    <x v="0"/>
    <n v="1957"/>
    <n v="234"/>
    <x v="144"/>
    <n v="4.6100000000000003"/>
    <n v="3314"/>
    <x v="139"/>
    <x v="144"/>
  </r>
  <r>
    <x v="36"/>
    <x v="1"/>
    <n v="1294"/>
    <n v="382"/>
    <x v="145"/>
    <n v="8.0299999999999994"/>
    <n v="23489"/>
    <x v="140"/>
    <x v="145"/>
  </r>
  <r>
    <x v="36"/>
    <x v="2"/>
    <n v="1587"/>
    <n v="385"/>
    <x v="146"/>
    <n v="6.99"/>
    <n v="42832"/>
    <x v="141"/>
    <x v="146"/>
  </r>
  <r>
    <x v="36"/>
    <x v="3"/>
    <n v="1707"/>
    <n v="263"/>
    <x v="147"/>
    <n v="9.0299999999999994"/>
    <n v="24494"/>
    <x v="142"/>
    <x v="147"/>
  </r>
  <r>
    <x v="37"/>
    <x v="0"/>
    <n v="1138"/>
    <n v="173"/>
    <x v="148"/>
    <n v="2.86"/>
    <n v="44097"/>
    <x v="143"/>
    <x v="148"/>
  </r>
  <r>
    <x v="37"/>
    <x v="1"/>
    <n v="1895"/>
    <n v="305"/>
    <x v="149"/>
    <n v="3.85"/>
    <n v="31853"/>
    <x v="144"/>
    <x v="149"/>
  </r>
  <r>
    <x v="37"/>
    <x v="2"/>
    <n v="362"/>
    <n v="399"/>
    <x v="150"/>
    <n v="7.3"/>
    <n v="37636"/>
    <x v="145"/>
    <x v="150"/>
  </r>
  <r>
    <x v="37"/>
    <x v="3"/>
    <n v="1662"/>
    <n v="487"/>
    <x v="151"/>
    <n v="9.08"/>
    <n v="22996"/>
    <x v="146"/>
    <x v="151"/>
  </r>
  <r>
    <x v="38"/>
    <x v="0"/>
    <n v="1440"/>
    <n v="65"/>
    <x v="152"/>
    <n v="4.34"/>
    <n v="49772"/>
    <x v="147"/>
    <x v="152"/>
  </r>
  <r>
    <x v="38"/>
    <x v="1"/>
    <n v="1884"/>
    <n v="177"/>
    <x v="153"/>
    <n v="7.8"/>
    <n v="22713"/>
    <x v="148"/>
    <x v="153"/>
  </r>
  <r>
    <x v="38"/>
    <x v="2"/>
    <n v="861"/>
    <n v="153"/>
    <x v="154"/>
    <n v="3.85"/>
    <n v="8718"/>
    <x v="149"/>
    <x v="154"/>
  </r>
  <r>
    <x v="38"/>
    <x v="3"/>
    <n v="1063"/>
    <n v="47"/>
    <x v="155"/>
    <n v="6.58"/>
    <n v="39031"/>
    <x v="150"/>
    <x v="155"/>
  </r>
  <r>
    <x v="39"/>
    <x v="0"/>
    <n v="1371"/>
    <n v="56"/>
    <x v="156"/>
    <n v="8.6199999999999992"/>
    <n v="33799"/>
    <x v="151"/>
    <x v="156"/>
  </r>
  <r>
    <x v="39"/>
    <x v="1"/>
    <n v="345"/>
    <n v="464"/>
    <x v="157"/>
    <n v="4.55"/>
    <n v="20553"/>
    <x v="152"/>
    <x v="157"/>
  </r>
  <r>
    <x v="39"/>
    <x v="2"/>
    <n v="946"/>
    <n v="47"/>
    <x v="158"/>
    <n v="8.33"/>
    <n v="10002"/>
    <x v="153"/>
    <x v="158"/>
  </r>
  <r>
    <x v="39"/>
    <x v="3"/>
    <n v="510"/>
    <n v="195"/>
    <x v="159"/>
    <n v="9.4"/>
    <n v="30987"/>
    <x v="154"/>
    <x v="159"/>
  </r>
  <r>
    <x v="40"/>
    <x v="0"/>
    <n v="393"/>
    <n v="181"/>
    <x v="160"/>
    <n v="7.23"/>
    <n v="6296"/>
    <x v="155"/>
    <x v="160"/>
  </r>
  <r>
    <x v="40"/>
    <x v="1"/>
    <n v="1098"/>
    <n v="190"/>
    <x v="161"/>
    <n v="9.39"/>
    <n v="21539"/>
    <x v="156"/>
    <x v="161"/>
  </r>
  <r>
    <x v="40"/>
    <x v="2"/>
    <n v="1399"/>
    <n v="49"/>
    <x v="162"/>
    <n v="5.12"/>
    <n v="14722"/>
    <x v="157"/>
    <x v="162"/>
  </r>
  <r>
    <x v="40"/>
    <x v="3"/>
    <n v="1658"/>
    <n v="416"/>
    <x v="163"/>
    <n v="6.11"/>
    <n v="11383"/>
    <x v="158"/>
    <x v="163"/>
  </r>
  <r>
    <x v="41"/>
    <x v="0"/>
    <n v="1102"/>
    <n v="422"/>
    <x v="164"/>
    <n v="7.74"/>
    <n v="9480"/>
    <x v="159"/>
    <x v="164"/>
  </r>
  <r>
    <x v="41"/>
    <x v="1"/>
    <n v="1358"/>
    <n v="242"/>
    <x v="165"/>
    <n v="4.9400000000000004"/>
    <n v="29116"/>
    <x v="160"/>
    <x v="165"/>
  </r>
  <r>
    <x v="41"/>
    <x v="2"/>
    <n v="1077"/>
    <n v="216"/>
    <x v="166"/>
    <n v="1.8"/>
    <n v="14068"/>
    <x v="161"/>
    <x v="166"/>
  </r>
  <r>
    <x v="41"/>
    <x v="3"/>
    <n v="1596"/>
    <n v="211"/>
    <x v="167"/>
    <n v="8.64"/>
    <n v="35801"/>
    <x v="162"/>
    <x v="167"/>
  </r>
  <r>
    <x v="42"/>
    <x v="0"/>
    <n v="490"/>
    <n v="29"/>
    <x v="168"/>
    <n v="1.53"/>
    <n v="49077"/>
    <x v="163"/>
    <x v="168"/>
  </r>
  <r>
    <x v="42"/>
    <x v="1"/>
    <n v="609"/>
    <n v="135"/>
    <x v="169"/>
    <n v="8.52"/>
    <n v="21453"/>
    <x v="164"/>
    <x v="169"/>
  </r>
  <r>
    <x v="42"/>
    <x v="2"/>
    <n v="364"/>
    <n v="72"/>
    <x v="170"/>
    <n v="5.53"/>
    <n v="21061"/>
    <x v="165"/>
    <x v="170"/>
  </r>
  <r>
    <x v="42"/>
    <x v="3"/>
    <n v="442"/>
    <n v="53"/>
    <x v="171"/>
    <n v="1.87"/>
    <n v="20059"/>
    <x v="166"/>
    <x v="171"/>
  </r>
  <r>
    <x v="43"/>
    <x v="0"/>
    <n v="1033"/>
    <n v="392"/>
    <x v="172"/>
    <n v="6.27"/>
    <n v="23140"/>
    <x v="167"/>
    <x v="172"/>
  </r>
  <r>
    <x v="43"/>
    <x v="1"/>
    <n v="988"/>
    <n v="474"/>
    <x v="173"/>
    <n v="9.4600000000000009"/>
    <n v="23461"/>
    <x v="23"/>
    <x v="173"/>
  </r>
  <r>
    <x v="43"/>
    <x v="2"/>
    <n v="1946"/>
    <n v="270"/>
    <x v="174"/>
    <n v="7.5"/>
    <n v="11805"/>
    <x v="168"/>
    <x v="174"/>
  </r>
  <r>
    <x v="43"/>
    <x v="3"/>
    <n v="1957"/>
    <n v="490"/>
    <x v="175"/>
    <n v="4.7300000000000004"/>
    <n v="15969"/>
    <x v="169"/>
    <x v="175"/>
  </r>
  <r>
    <x v="44"/>
    <x v="0"/>
    <n v="559"/>
    <n v="392"/>
    <x v="176"/>
    <n v="3.19"/>
    <n v="2436"/>
    <x v="170"/>
    <x v="176"/>
  </r>
  <r>
    <x v="44"/>
    <x v="1"/>
    <n v="1307"/>
    <n v="278"/>
    <x v="177"/>
    <n v="2.4900000000000002"/>
    <n v="47603"/>
    <x v="171"/>
    <x v="177"/>
  </r>
  <r>
    <x v="44"/>
    <x v="2"/>
    <n v="1432"/>
    <n v="425"/>
    <x v="178"/>
    <n v="4.5"/>
    <n v="42964"/>
    <x v="172"/>
    <x v="178"/>
  </r>
  <r>
    <x v="44"/>
    <x v="3"/>
    <n v="623"/>
    <n v="414"/>
    <x v="179"/>
    <n v="6.49"/>
    <n v="39923"/>
    <x v="173"/>
    <x v="179"/>
  </r>
  <r>
    <x v="45"/>
    <x v="0"/>
    <n v="198"/>
    <n v="358"/>
    <x v="180"/>
    <n v="6.73"/>
    <n v="2293"/>
    <x v="174"/>
    <x v="180"/>
  </r>
  <r>
    <x v="45"/>
    <x v="1"/>
    <n v="198"/>
    <n v="373"/>
    <x v="181"/>
    <n v="4.83"/>
    <n v="25920"/>
    <x v="175"/>
    <x v="181"/>
  </r>
  <r>
    <x v="45"/>
    <x v="2"/>
    <n v="353"/>
    <n v="300"/>
    <x v="182"/>
    <n v="5.3"/>
    <n v="11035"/>
    <x v="176"/>
    <x v="182"/>
  </r>
  <r>
    <x v="45"/>
    <x v="3"/>
    <n v="520"/>
    <n v="375"/>
    <x v="183"/>
    <n v="6.54"/>
    <n v="20733"/>
    <x v="177"/>
    <x v="183"/>
  </r>
  <r>
    <x v="46"/>
    <x v="0"/>
    <n v="961"/>
    <n v="358"/>
    <x v="184"/>
    <n v="6.8"/>
    <n v="18693"/>
    <x v="178"/>
    <x v="184"/>
  </r>
  <r>
    <x v="46"/>
    <x v="1"/>
    <n v="1375"/>
    <n v="330"/>
    <x v="185"/>
    <n v="2.6"/>
    <n v="7875"/>
    <x v="52"/>
    <x v="185"/>
  </r>
  <r>
    <x v="46"/>
    <x v="2"/>
    <n v="1147"/>
    <n v="388"/>
    <x v="186"/>
    <n v="2.44"/>
    <n v="8471"/>
    <x v="179"/>
    <x v="186"/>
  </r>
  <r>
    <x v="46"/>
    <x v="3"/>
    <n v="1707"/>
    <n v="74"/>
    <x v="187"/>
    <n v="3.09"/>
    <n v="14090"/>
    <x v="180"/>
    <x v="187"/>
  </r>
  <r>
    <x v="47"/>
    <x v="0"/>
    <n v="1693"/>
    <n v="154"/>
    <x v="188"/>
    <n v="5.69"/>
    <n v="14216"/>
    <x v="181"/>
    <x v="188"/>
  </r>
  <r>
    <x v="47"/>
    <x v="1"/>
    <n v="833"/>
    <n v="380"/>
    <x v="189"/>
    <n v="3.86"/>
    <n v="3582"/>
    <x v="182"/>
    <x v="189"/>
  </r>
  <r>
    <x v="47"/>
    <x v="2"/>
    <n v="1222"/>
    <n v="274"/>
    <x v="190"/>
    <n v="3.16"/>
    <n v="32500"/>
    <x v="183"/>
    <x v="190"/>
  </r>
  <r>
    <x v="47"/>
    <x v="3"/>
    <n v="777"/>
    <n v="140"/>
    <x v="191"/>
    <n v="1.6"/>
    <n v="6832"/>
    <x v="184"/>
    <x v="191"/>
  </r>
  <r>
    <x v="48"/>
    <x v="0"/>
    <n v="1957"/>
    <n v="76"/>
    <x v="192"/>
    <n v="6.09"/>
    <n v="33381"/>
    <x v="185"/>
    <x v="192"/>
  </r>
  <r>
    <x v="48"/>
    <x v="1"/>
    <n v="405"/>
    <n v="66"/>
    <x v="193"/>
    <n v="5.59"/>
    <n v="48419"/>
    <x v="186"/>
    <x v="193"/>
  </r>
  <r>
    <x v="48"/>
    <x v="2"/>
    <n v="1581"/>
    <n v="71"/>
    <x v="194"/>
    <n v="3.55"/>
    <n v="16149"/>
    <x v="187"/>
    <x v="194"/>
  </r>
  <r>
    <x v="48"/>
    <x v="3"/>
    <n v="1035"/>
    <n v="171"/>
    <x v="195"/>
    <n v="5.21"/>
    <n v="7541"/>
    <x v="188"/>
    <x v="195"/>
  </r>
  <r>
    <x v="49"/>
    <x v="0"/>
    <n v="1765"/>
    <n v="109"/>
    <x v="196"/>
    <n v="1.82"/>
    <n v="20042"/>
    <x v="189"/>
    <x v="196"/>
  </r>
  <r>
    <x v="49"/>
    <x v="1"/>
    <n v="837"/>
    <n v="430"/>
    <x v="197"/>
    <n v="4"/>
    <n v="49400"/>
    <x v="190"/>
    <x v="197"/>
  </r>
  <r>
    <x v="49"/>
    <x v="2"/>
    <n v="337"/>
    <n v="68"/>
    <x v="198"/>
    <n v="7.57"/>
    <n v="4007"/>
    <x v="191"/>
    <x v="198"/>
  </r>
  <r>
    <x v="49"/>
    <x v="3"/>
    <n v="119"/>
    <n v="456"/>
    <x v="199"/>
    <n v="6.81"/>
    <n v="12174"/>
    <x v="192"/>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2DD036-9A20-408D-B390-75A0980F052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latforms">
  <location ref="A3:C216" firstHeaderRow="0" firstDataRow="1" firstDataCol="1"/>
  <pivotFields count="1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1"/>
        <item x="0"/>
        <item x="2"/>
        <item x="3"/>
        <item t="default"/>
      </items>
      <autoSortScope>
        <pivotArea dataOnly="0" outline="0" fieldPosition="0">
          <references count="1">
            <reference field="4294967294" count="1" selected="0">
              <x v="1"/>
            </reference>
          </references>
        </pivotArea>
      </autoSortScope>
    </pivotField>
    <pivotField numFmtId="1" showAll="0"/>
    <pivotField numFmtId="1" showAll="0"/>
    <pivotField dataField="1" numFmtId="1" showAll="0"/>
    <pivotField numFmtId="1" showAll="0"/>
    <pivotField numFmtId="1" showAll="0"/>
    <pivotField dataField="1" numFmtI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s>
  <rowFields count="3">
    <field x="1"/>
    <field x="9"/>
    <field x="8"/>
  </rowFields>
  <rowItems count="213">
    <i>
      <x v="1"/>
    </i>
    <i r="1">
      <x v="1"/>
    </i>
    <i r="2">
      <x v="155"/>
    </i>
    <i r="2">
      <x v="162"/>
    </i>
    <i r="2">
      <x v="169"/>
    </i>
    <i r="2">
      <x v="176"/>
    </i>
    <i r="2">
      <x v="183"/>
    </i>
    <i r="2">
      <x v="190"/>
    </i>
    <i r="2">
      <x v="197"/>
    </i>
    <i r="2">
      <x v="204"/>
    </i>
    <i r="2">
      <x v="211"/>
    </i>
    <i r="2">
      <x v="218"/>
    </i>
    <i r="2">
      <x v="225"/>
    </i>
    <i r="2">
      <x v="232"/>
    </i>
    <i r="2">
      <x v="239"/>
    </i>
    <i r="2">
      <x v="246"/>
    </i>
    <i r="2">
      <x v="253"/>
    </i>
    <i r="2">
      <x v="260"/>
    </i>
    <i r="2">
      <x v="267"/>
    </i>
    <i r="2">
      <x v="274"/>
    </i>
    <i r="2">
      <x v="281"/>
    </i>
    <i r="2">
      <x v="288"/>
    </i>
    <i r="2">
      <x v="295"/>
    </i>
    <i r="2">
      <x v="302"/>
    </i>
    <i r="2">
      <x v="309"/>
    </i>
    <i r="2">
      <x v="316"/>
    </i>
    <i r="2">
      <x v="323"/>
    </i>
    <i r="2">
      <x v="330"/>
    </i>
    <i r="2">
      <x v="337"/>
    </i>
    <i r="2">
      <x v="344"/>
    </i>
    <i r="2">
      <x v="351"/>
    </i>
    <i r="2">
      <x v="358"/>
    </i>
    <i r="2">
      <x v="365"/>
    </i>
    <i r="1">
      <x v="2"/>
    </i>
    <i r="2">
      <x v="6"/>
    </i>
    <i r="2">
      <x v="13"/>
    </i>
    <i r="2">
      <x v="20"/>
    </i>
    <i r="2">
      <x v="27"/>
    </i>
    <i r="2">
      <x v="34"/>
    </i>
    <i r="2">
      <x v="41"/>
    </i>
    <i r="2">
      <x v="48"/>
    </i>
    <i r="2">
      <x v="55"/>
    </i>
    <i r="2">
      <x v="63"/>
    </i>
    <i r="2">
      <x v="70"/>
    </i>
    <i r="2">
      <x v="77"/>
    </i>
    <i r="2">
      <x v="84"/>
    </i>
    <i r="2">
      <x v="91"/>
    </i>
    <i r="2">
      <x v="98"/>
    </i>
    <i r="2">
      <x v="105"/>
    </i>
    <i r="2">
      <x v="112"/>
    </i>
    <i r="2">
      <x v="119"/>
    </i>
    <i r="2">
      <x v="126"/>
    </i>
    <i r="2">
      <x v="133"/>
    </i>
    <i>
      <x v="2"/>
    </i>
    <i r="1">
      <x v="1"/>
    </i>
    <i r="2">
      <x v="155"/>
    </i>
    <i r="2">
      <x v="162"/>
    </i>
    <i r="2">
      <x v="169"/>
    </i>
    <i r="2">
      <x v="176"/>
    </i>
    <i r="2">
      <x v="183"/>
    </i>
    <i r="2">
      <x v="190"/>
    </i>
    <i r="2">
      <x v="197"/>
    </i>
    <i r="2">
      <x v="204"/>
    </i>
    <i r="2">
      <x v="211"/>
    </i>
    <i r="2">
      <x v="218"/>
    </i>
    <i r="2">
      <x v="225"/>
    </i>
    <i r="2">
      <x v="232"/>
    </i>
    <i r="2">
      <x v="239"/>
    </i>
    <i r="2">
      <x v="246"/>
    </i>
    <i r="2">
      <x v="253"/>
    </i>
    <i r="2">
      <x v="260"/>
    </i>
    <i r="2">
      <x v="267"/>
    </i>
    <i r="2">
      <x v="274"/>
    </i>
    <i r="2">
      <x v="281"/>
    </i>
    <i r="2">
      <x v="288"/>
    </i>
    <i r="2">
      <x v="295"/>
    </i>
    <i r="2">
      <x v="302"/>
    </i>
    <i r="2">
      <x v="309"/>
    </i>
    <i r="2">
      <x v="316"/>
    </i>
    <i r="2">
      <x v="323"/>
    </i>
    <i r="2">
      <x v="330"/>
    </i>
    <i r="2">
      <x v="337"/>
    </i>
    <i r="2">
      <x v="344"/>
    </i>
    <i r="2">
      <x v="351"/>
    </i>
    <i r="2">
      <x v="358"/>
    </i>
    <i r="2">
      <x v="365"/>
    </i>
    <i r="1">
      <x v="2"/>
    </i>
    <i r="2">
      <x v="6"/>
    </i>
    <i r="2">
      <x v="13"/>
    </i>
    <i r="2">
      <x v="20"/>
    </i>
    <i r="2">
      <x v="27"/>
    </i>
    <i r="2">
      <x v="34"/>
    </i>
    <i r="2">
      <x v="41"/>
    </i>
    <i r="2">
      <x v="48"/>
    </i>
    <i r="2">
      <x v="55"/>
    </i>
    <i r="2">
      <x v="63"/>
    </i>
    <i r="2">
      <x v="70"/>
    </i>
    <i r="2">
      <x v="77"/>
    </i>
    <i r="2">
      <x v="84"/>
    </i>
    <i r="2">
      <x v="91"/>
    </i>
    <i r="2">
      <x v="98"/>
    </i>
    <i r="2">
      <x v="105"/>
    </i>
    <i r="2">
      <x v="112"/>
    </i>
    <i r="2">
      <x v="119"/>
    </i>
    <i r="2">
      <x v="126"/>
    </i>
    <i r="2">
      <x v="133"/>
    </i>
    <i>
      <x/>
    </i>
    <i r="1">
      <x v="1"/>
    </i>
    <i r="2">
      <x v="155"/>
    </i>
    <i r="2">
      <x v="162"/>
    </i>
    <i r="2">
      <x v="169"/>
    </i>
    <i r="2">
      <x v="176"/>
    </i>
    <i r="2">
      <x v="183"/>
    </i>
    <i r="2">
      <x v="190"/>
    </i>
    <i r="2">
      <x v="197"/>
    </i>
    <i r="2">
      <x v="204"/>
    </i>
    <i r="2">
      <x v="211"/>
    </i>
    <i r="2">
      <x v="218"/>
    </i>
    <i r="2">
      <x v="225"/>
    </i>
    <i r="2">
      <x v="232"/>
    </i>
    <i r="2">
      <x v="239"/>
    </i>
    <i r="2">
      <x v="246"/>
    </i>
    <i r="2">
      <x v="253"/>
    </i>
    <i r="2">
      <x v="260"/>
    </i>
    <i r="2">
      <x v="267"/>
    </i>
    <i r="2">
      <x v="274"/>
    </i>
    <i r="2">
      <x v="281"/>
    </i>
    <i r="2">
      <x v="288"/>
    </i>
    <i r="2">
      <x v="295"/>
    </i>
    <i r="2">
      <x v="302"/>
    </i>
    <i r="2">
      <x v="309"/>
    </i>
    <i r="2">
      <x v="316"/>
    </i>
    <i r="2">
      <x v="323"/>
    </i>
    <i r="2">
      <x v="330"/>
    </i>
    <i r="2">
      <x v="337"/>
    </i>
    <i r="2">
      <x v="344"/>
    </i>
    <i r="2">
      <x v="351"/>
    </i>
    <i r="2">
      <x v="358"/>
    </i>
    <i r="2">
      <x v="365"/>
    </i>
    <i r="1">
      <x v="2"/>
    </i>
    <i r="2">
      <x v="6"/>
    </i>
    <i r="2">
      <x v="13"/>
    </i>
    <i r="2">
      <x v="20"/>
    </i>
    <i r="2">
      <x v="27"/>
    </i>
    <i r="2">
      <x v="34"/>
    </i>
    <i r="2">
      <x v="41"/>
    </i>
    <i r="2">
      <x v="48"/>
    </i>
    <i r="2">
      <x v="55"/>
    </i>
    <i r="2">
      <x v="63"/>
    </i>
    <i r="2">
      <x v="70"/>
    </i>
    <i r="2">
      <x v="77"/>
    </i>
    <i r="2">
      <x v="84"/>
    </i>
    <i r="2">
      <x v="91"/>
    </i>
    <i r="2">
      <x v="98"/>
    </i>
    <i r="2">
      <x v="105"/>
    </i>
    <i r="2">
      <x v="112"/>
    </i>
    <i r="2">
      <x v="119"/>
    </i>
    <i r="2">
      <x v="126"/>
    </i>
    <i r="2">
      <x v="133"/>
    </i>
    <i>
      <x v="3"/>
    </i>
    <i r="1">
      <x v="1"/>
    </i>
    <i r="2">
      <x v="155"/>
    </i>
    <i r="2">
      <x v="162"/>
    </i>
    <i r="2">
      <x v="169"/>
    </i>
    <i r="2">
      <x v="176"/>
    </i>
    <i r="2">
      <x v="183"/>
    </i>
    <i r="2">
      <x v="190"/>
    </i>
    <i r="2">
      <x v="197"/>
    </i>
    <i r="2">
      <x v="204"/>
    </i>
    <i r="2">
      <x v="211"/>
    </i>
    <i r="2">
      <x v="218"/>
    </i>
    <i r="2">
      <x v="225"/>
    </i>
    <i r="2">
      <x v="232"/>
    </i>
    <i r="2">
      <x v="239"/>
    </i>
    <i r="2">
      <x v="246"/>
    </i>
    <i r="2">
      <x v="253"/>
    </i>
    <i r="2">
      <x v="260"/>
    </i>
    <i r="2">
      <x v="267"/>
    </i>
    <i r="2">
      <x v="274"/>
    </i>
    <i r="2">
      <x v="281"/>
    </i>
    <i r="2">
      <x v="288"/>
    </i>
    <i r="2">
      <x v="295"/>
    </i>
    <i r="2">
      <x v="302"/>
    </i>
    <i r="2">
      <x v="309"/>
    </i>
    <i r="2">
      <x v="316"/>
    </i>
    <i r="2">
      <x v="323"/>
    </i>
    <i r="2">
      <x v="330"/>
    </i>
    <i r="2">
      <x v="337"/>
    </i>
    <i r="2">
      <x v="344"/>
    </i>
    <i r="2">
      <x v="351"/>
    </i>
    <i r="2">
      <x v="358"/>
    </i>
    <i r="2">
      <x v="365"/>
    </i>
    <i r="1">
      <x v="2"/>
    </i>
    <i r="2">
      <x v="6"/>
    </i>
    <i r="2">
      <x v="13"/>
    </i>
    <i r="2">
      <x v="20"/>
    </i>
    <i r="2">
      <x v="27"/>
    </i>
    <i r="2">
      <x v="34"/>
    </i>
    <i r="2">
      <x v="41"/>
    </i>
    <i r="2">
      <x v="48"/>
    </i>
    <i r="2">
      <x v="55"/>
    </i>
    <i r="2">
      <x v="63"/>
    </i>
    <i r="2">
      <x v="70"/>
    </i>
    <i r="2">
      <x v="77"/>
    </i>
    <i r="2">
      <x v="84"/>
    </i>
    <i r="2">
      <x v="91"/>
    </i>
    <i r="2">
      <x v="98"/>
    </i>
    <i r="2">
      <x v="105"/>
    </i>
    <i r="2">
      <x v="112"/>
    </i>
    <i r="2">
      <x v="119"/>
    </i>
    <i r="2">
      <x v="126"/>
    </i>
    <i r="2">
      <x v="133"/>
    </i>
    <i t="grand">
      <x/>
    </i>
  </rowItems>
  <colFields count="1">
    <field x="-2"/>
  </colFields>
  <colItems count="2">
    <i>
      <x/>
    </i>
    <i i="1">
      <x v="1"/>
    </i>
  </colItems>
  <dataFields count="2">
    <dataField name="Sum of Total_Followers" fld="4" baseField="0" baseItem="0" numFmtId="1"/>
    <dataField name="Sum of Net Followers" fld="7"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4ED4C2-BF9C-4CEF-BEA2-4B8382B5E2B7}"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64" firstHeaderRow="1" firstDataRow="1" firstDataCol="1"/>
  <pivotFields count="11">
    <pivotField axis="axisRow"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1"/>
        <item x="0"/>
        <item x="2"/>
        <item x="3"/>
        <item t="default"/>
      </items>
    </pivotField>
    <pivotField numFmtId="1" showAll="0"/>
    <pivotField numFmtId="1" showAll="0"/>
    <pivotField numFmtId="1" showAll="0"/>
    <pivotField numFmtId="1" showAll="0"/>
    <pivotField numFmtId="1" showAll="0"/>
    <pivotField dataField="1" numFmtId="1" showAll="0"/>
    <pivotField numFmtId="1" showAll="0"/>
    <pivotField axis="axisRow" showAll="0">
      <items count="15">
        <item x="0"/>
        <item x="1"/>
        <item x="2"/>
        <item x="3"/>
        <item x="4"/>
        <item x="5"/>
        <item x="6"/>
        <item x="7"/>
        <item x="8"/>
        <item x="9"/>
        <item x="10"/>
        <item x="11"/>
        <item x="12"/>
        <item x="13"/>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s>
  <rowFields count="4">
    <field x="1"/>
    <field x="10"/>
    <field x="9"/>
    <field x="0"/>
  </rowFields>
  <rowItems count="261">
    <i>
      <x/>
    </i>
    <i r="1">
      <x v="1"/>
    </i>
    <i r="2">
      <x v="6"/>
    </i>
    <i r="3">
      <x/>
    </i>
    <i r="3">
      <x v="1"/>
    </i>
    <i r="3">
      <x v="2"/>
    </i>
    <i r="3">
      <x v="3"/>
    </i>
    <i r="2">
      <x v="7"/>
    </i>
    <i r="3">
      <x v="4"/>
    </i>
    <i r="3">
      <x v="5"/>
    </i>
    <i r="3">
      <x v="6"/>
    </i>
    <i r="3">
      <x v="7"/>
    </i>
    <i r="3">
      <x v="8"/>
    </i>
    <i r="2">
      <x v="8"/>
    </i>
    <i r="3">
      <x v="9"/>
    </i>
    <i r="3">
      <x v="10"/>
    </i>
    <i r="3">
      <x v="11"/>
    </i>
    <i r="3">
      <x v="12"/>
    </i>
    <i r="2">
      <x v="9"/>
    </i>
    <i r="3">
      <x v="13"/>
    </i>
    <i r="3">
      <x v="14"/>
    </i>
    <i r="3">
      <x v="15"/>
    </i>
    <i r="3">
      <x v="16"/>
    </i>
    <i r="3">
      <x v="17"/>
    </i>
    <i r="2">
      <x v="10"/>
    </i>
    <i r="3">
      <x v="18"/>
    </i>
    <i r="3">
      <x v="19"/>
    </i>
    <i r="3">
      <x v="20"/>
    </i>
    <i r="3">
      <x v="21"/>
    </i>
    <i r="2">
      <x v="11"/>
    </i>
    <i r="3">
      <x v="22"/>
    </i>
    <i r="3">
      <x v="23"/>
    </i>
    <i r="3">
      <x v="24"/>
    </i>
    <i r="3">
      <x v="25"/>
    </i>
    <i r="2">
      <x v="12"/>
    </i>
    <i r="3">
      <x v="26"/>
    </i>
    <i r="3">
      <x v="27"/>
    </i>
    <i r="3">
      <x v="28"/>
    </i>
    <i r="3">
      <x v="29"/>
    </i>
    <i r="3">
      <x v="30"/>
    </i>
    <i r="1">
      <x v="2"/>
    </i>
    <i r="2">
      <x v="1"/>
    </i>
    <i r="3">
      <x v="31"/>
    </i>
    <i r="3">
      <x v="32"/>
    </i>
    <i r="3">
      <x v="33"/>
    </i>
    <i r="3">
      <x v="34"/>
    </i>
    <i r="2">
      <x v="2"/>
    </i>
    <i r="3">
      <x v="35"/>
    </i>
    <i r="3">
      <x v="36"/>
    </i>
    <i r="3">
      <x v="37"/>
    </i>
    <i r="3">
      <x v="38"/>
    </i>
    <i r="2">
      <x v="3"/>
    </i>
    <i r="3">
      <x v="39"/>
    </i>
    <i r="3">
      <x v="40"/>
    </i>
    <i r="3">
      <x v="41"/>
    </i>
    <i r="3">
      <x v="42"/>
    </i>
    <i r="3">
      <x v="43"/>
    </i>
    <i r="2">
      <x v="4"/>
    </i>
    <i r="3">
      <x v="44"/>
    </i>
    <i r="3">
      <x v="45"/>
    </i>
    <i r="3">
      <x v="46"/>
    </i>
    <i r="3">
      <x v="47"/>
    </i>
    <i r="2">
      <x v="5"/>
    </i>
    <i r="3">
      <x v="48"/>
    </i>
    <i r="3">
      <x v="49"/>
    </i>
    <i>
      <x v="1"/>
    </i>
    <i r="1">
      <x v="1"/>
    </i>
    <i r="2">
      <x v="6"/>
    </i>
    <i r="3">
      <x/>
    </i>
    <i r="3">
      <x v="1"/>
    </i>
    <i r="3">
      <x v="2"/>
    </i>
    <i r="3">
      <x v="3"/>
    </i>
    <i r="2">
      <x v="7"/>
    </i>
    <i r="3">
      <x v="4"/>
    </i>
    <i r="3">
      <x v="5"/>
    </i>
    <i r="3">
      <x v="6"/>
    </i>
    <i r="3">
      <x v="7"/>
    </i>
    <i r="3">
      <x v="8"/>
    </i>
    <i r="2">
      <x v="8"/>
    </i>
    <i r="3">
      <x v="9"/>
    </i>
    <i r="3">
      <x v="10"/>
    </i>
    <i r="3">
      <x v="11"/>
    </i>
    <i r="3">
      <x v="12"/>
    </i>
    <i r="2">
      <x v="9"/>
    </i>
    <i r="3">
      <x v="13"/>
    </i>
    <i r="3">
      <x v="14"/>
    </i>
    <i r="3">
      <x v="15"/>
    </i>
    <i r="3">
      <x v="16"/>
    </i>
    <i r="3">
      <x v="17"/>
    </i>
    <i r="2">
      <x v="10"/>
    </i>
    <i r="3">
      <x v="18"/>
    </i>
    <i r="3">
      <x v="19"/>
    </i>
    <i r="3">
      <x v="20"/>
    </i>
    <i r="3">
      <x v="21"/>
    </i>
    <i r="2">
      <x v="11"/>
    </i>
    <i r="3">
      <x v="22"/>
    </i>
    <i r="3">
      <x v="23"/>
    </i>
    <i r="3">
      <x v="24"/>
    </i>
    <i r="3">
      <x v="25"/>
    </i>
    <i r="2">
      <x v="12"/>
    </i>
    <i r="3">
      <x v="26"/>
    </i>
    <i r="3">
      <x v="27"/>
    </i>
    <i r="3">
      <x v="28"/>
    </i>
    <i r="3">
      <x v="29"/>
    </i>
    <i r="3">
      <x v="30"/>
    </i>
    <i r="1">
      <x v="2"/>
    </i>
    <i r="2">
      <x v="1"/>
    </i>
    <i r="3">
      <x v="31"/>
    </i>
    <i r="3">
      <x v="32"/>
    </i>
    <i r="3">
      <x v="33"/>
    </i>
    <i r="3">
      <x v="34"/>
    </i>
    <i r="2">
      <x v="2"/>
    </i>
    <i r="3">
      <x v="35"/>
    </i>
    <i r="3">
      <x v="36"/>
    </i>
    <i r="3">
      <x v="37"/>
    </i>
    <i r="3">
      <x v="38"/>
    </i>
    <i r="2">
      <x v="3"/>
    </i>
    <i r="3">
      <x v="39"/>
    </i>
    <i r="3">
      <x v="40"/>
    </i>
    <i r="3">
      <x v="41"/>
    </i>
    <i r="3">
      <x v="42"/>
    </i>
    <i r="3">
      <x v="43"/>
    </i>
    <i r="2">
      <x v="4"/>
    </i>
    <i r="3">
      <x v="44"/>
    </i>
    <i r="3">
      <x v="45"/>
    </i>
    <i r="3">
      <x v="46"/>
    </i>
    <i r="3">
      <x v="47"/>
    </i>
    <i r="2">
      <x v="5"/>
    </i>
    <i r="3">
      <x v="48"/>
    </i>
    <i r="3">
      <x v="49"/>
    </i>
    <i>
      <x v="2"/>
    </i>
    <i r="1">
      <x v="1"/>
    </i>
    <i r="2">
      <x v="6"/>
    </i>
    <i r="3">
      <x/>
    </i>
    <i r="3">
      <x v="1"/>
    </i>
    <i r="3">
      <x v="2"/>
    </i>
    <i r="3">
      <x v="3"/>
    </i>
    <i r="2">
      <x v="7"/>
    </i>
    <i r="3">
      <x v="4"/>
    </i>
    <i r="3">
      <x v="5"/>
    </i>
    <i r="3">
      <x v="6"/>
    </i>
    <i r="3">
      <x v="7"/>
    </i>
    <i r="3">
      <x v="8"/>
    </i>
    <i r="2">
      <x v="8"/>
    </i>
    <i r="3">
      <x v="9"/>
    </i>
    <i r="3">
      <x v="10"/>
    </i>
    <i r="3">
      <x v="11"/>
    </i>
    <i r="3">
      <x v="12"/>
    </i>
    <i r="2">
      <x v="9"/>
    </i>
    <i r="3">
      <x v="13"/>
    </i>
    <i r="3">
      <x v="14"/>
    </i>
    <i r="3">
      <x v="15"/>
    </i>
    <i r="3">
      <x v="16"/>
    </i>
    <i r="3">
      <x v="17"/>
    </i>
    <i r="2">
      <x v="10"/>
    </i>
    <i r="3">
      <x v="18"/>
    </i>
    <i r="3">
      <x v="19"/>
    </i>
    <i r="3">
      <x v="20"/>
    </i>
    <i r="3">
      <x v="21"/>
    </i>
    <i r="2">
      <x v="11"/>
    </i>
    <i r="3">
      <x v="22"/>
    </i>
    <i r="3">
      <x v="23"/>
    </i>
    <i r="3">
      <x v="24"/>
    </i>
    <i r="3">
      <x v="25"/>
    </i>
    <i r="2">
      <x v="12"/>
    </i>
    <i r="3">
      <x v="26"/>
    </i>
    <i r="3">
      <x v="27"/>
    </i>
    <i r="3">
      <x v="28"/>
    </i>
    <i r="3">
      <x v="29"/>
    </i>
    <i r="3">
      <x v="30"/>
    </i>
    <i r="1">
      <x v="2"/>
    </i>
    <i r="2">
      <x v="1"/>
    </i>
    <i r="3">
      <x v="31"/>
    </i>
    <i r="3">
      <x v="32"/>
    </i>
    <i r="3">
      <x v="33"/>
    </i>
    <i r="3">
      <x v="34"/>
    </i>
    <i r="2">
      <x v="2"/>
    </i>
    <i r="3">
      <x v="35"/>
    </i>
    <i r="3">
      <x v="36"/>
    </i>
    <i r="3">
      <x v="37"/>
    </i>
    <i r="3">
      <x v="38"/>
    </i>
    <i r="2">
      <x v="3"/>
    </i>
    <i r="3">
      <x v="39"/>
    </i>
    <i r="3">
      <x v="40"/>
    </i>
    <i r="3">
      <x v="41"/>
    </i>
    <i r="3">
      <x v="42"/>
    </i>
    <i r="3">
      <x v="43"/>
    </i>
    <i r="2">
      <x v="4"/>
    </i>
    <i r="3">
      <x v="44"/>
    </i>
    <i r="3">
      <x v="45"/>
    </i>
    <i r="3">
      <x v="46"/>
    </i>
    <i r="3">
      <x v="47"/>
    </i>
    <i r="2">
      <x v="5"/>
    </i>
    <i r="3">
      <x v="48"/>
    </i>
    <i r="3">
      <x v="49"/>
    </i>
    <i>
      <x v="3"/>
    </i>
    <i r="1">
      <x v="1"/>
    </i>
    <i r="2">
      <x v="6"/>
    </i>
    <i r="3">
      <x/>
    </i>
    <i r="3">
      <x v="1"/>
    </i>
    <i r="3">
      <x v="2"/>
    </i>
    <i r="3">
      <x v="3"/>
    </i>
    <i r="2">
      <x v="7"/>
    </i>
    <i r="3">
      <x v="4"/>
    </i>
    <i r="3">
      <x v="5"/>
    </i>
    <i r="3">
      <x v="6"/>
    </i>
    <i r="3">
      <x v="7"/>
    </i>
    <i r="3">
      <x v="8"/>
    </i>
    <i r="2">
      <x v="8"/>
    </i>
    <i r="3">
      <x v="9"/>
    </i>
    <i r="3">
      <x v="10"/>
    </i>
    <i r="3">
      <x v="11"/>
    </i>
    <i r="3">
      <x v="12"/>
    </i>
    <i r="2">
      <x v="9"/>
    </i>
    <i r="3">
      <x v="13"/>
    </i>
    <i r="3">
      <x v="14"/>
    </i>
    <i r="3">
      <x v="15"/>
    </i>
    <i r="3">
      <x v="16"/>
    </i>
    <i r="3">
      <x v="17"/>
    </i>
    <i r="2">
      <x v="10"/>
    </i>
    <i r="3">
      <x v="18"/>
    </i>
    <i r="3">
      <x v="19"/>
    </i>
    <i r="3">
      <x v="20"/>
    </i>
    <i r="3">
      <x v="21"/>
    </i>
    <i r="2">
      <x v="11"/>
    </i>
    <i r="3">
      <x v="22"/>
    </i>
    <i r="3">
      <x v="23"/>
    </i>
    <i r="3">
      <x v="24"/>
    </i>
    <i r="3">
      <x v="25"/>
    </i>
    <i r="2">
      <x v="12"/>
    </i>
    <i r="3">
      <x v="26"/>
    </i>
    <i r="3">
      <x v="27"/>
    </i>
    <i r="3">
      <x v="28"/>
    </i>
    <i r="3">
      <x v="29"/>
    </i>
    <i r="3">
      <x v="30"/>
    </i>
    <i r="1">
      <x v="2"/>
    </i>
    <i r="2">
      <x v="1"/>
    </i>
    <i r="3">
      <x v="31"/>
    </i>
    <i r="3">
      <x v="32"/>
    </i>
    <i r="3">
      <x v="33"/>
    </i>
    <i r="3">
      <x v="34"/>
    </i>
    <i r="2">
      <x v="2"/>
    </i>
    <i r="3">
      <x v="35"/>
    </i>
    <i r="3">
      <x v="36"/>
    </i>
    <i r="3">
      <x v="37"/>
    </i>
    <i r="3">
      <x v="38"/>
    </i>
    <i r="2">
      <x v="3"/>
    </i>
    <i r="3">
      <x v="39"/>
    </i>
    <i r="3">
      <x v="40"/>
    </i>
    <i r="3">
      <x v="41"/>
    </i>
    <i r="3">
      <x v="42"/>
    </i>
    <i r="3">
      <x v="43"/>
    </i>
    <i r="2">
      <x v="4"/>
    </i>
    <i r="3">
      <x v="44"/>
    </i>
    <i r="3">
      <x v="45"/>
    </i>
    <i r="3">
      <x v="46"/>
    </i>
    <i r="3">
      <x v="47"/>
    </i>
    <i r="2">
      <x v="5"/>
    </i>
    <i r="3">
      <x v="48"/>
    </i>
    <i r="3">
      <x v="49"/>
    </i>
    <i t="grand">
      <x/>
    </i>
  </rowItems>
  <colItems count="1">
    <i/>
  </colItems>
  <dataFields count="1">
    <dataField name="Sum of Net Followers" fld="7" baseField="0" baseItem="0" numFmtId="1"/>
  </dataFields>
  <formats count="3">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401EDA-8183-447F-8F6C-C643C3057508}"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latforms">
  <location ref="A3:D64" firstHeaderRow="0" firstDataRow="1" firstDataCol="1"/>
  <pivotFields count="11">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1"/>
        <item x="0"/>
        <item x="2"/>
        <item x="3"/>
        <item t="default"/>
      </items>
      <autoSortScope>
        <pivotArea dataOnly="0" outline="0" fieldPosition="0">
          <references count="1">
            <reference field="4294967294" count="1" selected="0">
              <x v="2"/>
            </reference>
          </references>
        </pivotArea>
      </autoSortScope>
    </pivotField>
    <pivotField numFmtId="1" showAll="0"/>
    <pivotField numFmtId="1" showAll="0"/>
    <pivotField dataField="1" numFmtId="1" showAll="0">
      <items count="201">
        <item x="191"/>
        <item x="166"/>
        <item x="162"/>
        <item x="131"/>
        <item x="167"/>
        <item x="110"/>
        <item x="81"/>
        <item x="32"/>
        <item x="119"/>
        <item x="13"/>
        <item x="178"/>
        <item x="12"/>
        <item x="109"/>
        <item x="1"/>
        <item x="4"/>
        <item x="60"/>
        <item x="96"/>
        <item x="92"/>
        <item x="88"/>
        <item x="20"/>
        <item x="35"/>
        <item x="103"/>
        <item x="184"/>
        <item x="67"/>
        <item x="59"/>
        <item x="70"/>
        <item x="180"/>
        <item x="181"/>
        <item x="176"/>
        <item x="118"/>
        <item x="199"/>
        <item x="94"/>
        <item x="47"/>
        <item x="102"/>
        <item x="117"/>
        <item x="71"/>
        <item x="127"/>
        <item x="125"/>
        <item x="163"/>
        <item x="177"/>
        <item x="52"/>
        <item x="43"/>
        <item x="149"/>
        <item x="151"/>
        <item x="19"/>
        <item x="75"/>
        <item x="63"/>
        <item x="95"/>
        <item x="10"/>
        <item x="134"/>
        <item x="37"/>
        <item x="152"/>
        <item x="146"/>
        <item x="141"/>
        <item x="123"/>
        <item x="120"/>
        <item x="182"/>
        <item x="150"/>
        <item x="2"/>
        <item x="195"/>
        <item x="24"/>
        <item x="27"/>
        <item x="77"/>
        <item x="9"/>
        <item x="142"/>
        <item x="45"/>
        <item x="50"/>
        <item x="72"/>
        <item x="46"/>
        <item x="30"/>
        <item x="174"/>
        <item x="79"/>
        <item x="85"/>
        <item x="170"/>
        <item x="17"/>
        <item x="108"/>
        <item x="107"/>
        <item x="144"/>
        <item x="159"/>
        <item x="129"/>
        <item x="189"/>
        <item x="26"/>
        <item x="153"/>
        <item x="23"/>
        <item x="51"/>
        <item x="65"/>
        <item x="86"/>
        <item x="21"/>
        <item x="6"/>
        <item x="83"/>
        <item x="156"/>
        <item x="82"/>
        <item x="91"/>
        <item x="138"/>
        <item x="66"/>
        <item x="143"/>
        <item x="187"/>
        <item x="122"/>
        <item x="116"/>
        <item x="100"/>
        <item x="172"/>
        <item x="34"/>
        <item x="179"/>
        <item x="29"/>
        <item x="14"/>
        <item x="99"/>
        <item x="87"/>
        <item x="31"/>
        <item x="57"/>
        <item x="41"/>
        <item x="93"/>
        <item x="78"/>
        <item x="106"/>
        <item x="145"/>
        <item x="18"/>
        <item x="5"/>
        <item x="154"/>
        <item x="54"/>
        <item x="89"/>
        <item x="39"/>
        <item x="137"/>
        <item x="44"/>
        <item x="114"/>
        <item x="186"/>
        <item x="25"/>
        <item x="101"/>
        <item x="135"/>
        <item x="97"/>
        <item x="161"/>
        <item x="165"/>
        <item x="0"/>
        <item x="84"/>
        <item x="128"/>
        <item x="140"/>
        <item x="80"/>
        <item x="136"/>
        <item x="168"/>
        <item x="197"/>
        <item x="157"/>
        <item x="183"/>
        <item x="173"/>
        <item x="68"/>
        <item x="55"/>
        <item x="126"/>
        <item x="169"/>
        <item x="185"/>
        <item x="56"/>
        <item x="73"/>
        <item x="49"/>
        <item x="121"/>
        <item x="11"/>
        <item x="132"/>
        <item x="76"/>
        <item x="22"/>
        <item x="62"/>
        <item x="3"/>
        <item x="164"/>
        <item x="7"/>
        <item x="113"/>
        <item x="193"/>
        <item x="16"/>
        <item x="104"/>
        <item x="64"/>
        <item x="15"/>
        <item x="58"/>
        <item x="42"/>
        <item x="33"/>
        <item x="175"/>
        <item x="36"/>
        <item x="90"/>
        <item x="171"/>
        <item x="188"/>
        <item x="192"/>
        <item x="38"/>
        <item x="111"/>
        <item x="148"/>
        <item x="69"/>
        <item x="48"/>
        <item x="198"/>
        <item x="8"/>
        <item x="139"/>
        <item x="160"/>
        <item x="155"/>
        <item x="112"/>
        <item x="124"/>
        <item x="158"/>
        <item x="196"/>
        <item x="105"/>
        <item x="28"/>
        <item x="61"/>
        <item x="74"/>
        <item x="133"/>
        <item x="194"/>
        <item x="147"/>
        <item x="190"/>
        <item x="98"/>
        <item x="130"/>
        <item x="115"/>
        <item x="40"/>
        <item x="53"/>
        <item t="default"/>
      </items>
    </pivotField>
    <pivotField numFmtId="1" showAll="0"/>
    <pivotField numFmtId="1" showAll="0"/>
    <pivotField dataField="1" numFmtId="1" showAll="0"/>
    <pivotField dataField="1" numFmtI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3">
    <field x="1"/>
    <field x="10"/>
    <field x="9"/>
  </rowFields>
  <rowItems count="61">
    <i>
      <x v="1"/>
    </i>
    <i r="1">
      <x v="1"/>
    </i>
    <i r="2">
      <x v="6"/>
    </i>
    <i r="2">
      <x v="7"/>
    </i>
    <i r="2">
      <x v="8"/>
    </i>
    <i r="2">
      <x v="9"/>
    </i>
    <i r="2">
      <x v="10"/>
    </i>
    <i r="2">
      <x v="11"/>
    </i>
    <i r="2">
      <x v="12"/>
    </i>
    <i r="1">
      <x v="2"/>
    </i>
    <i r="2">
      <x v="1"/>
    </i>
    <i r="2">
      <x v="2"/>
    </i>
    <i r="2">
      <x v="3"/>
    </i>
    <i r="2">
      <x v="4"/>
    </i>
    <i r="2">
      <x v="5"/>
    </i>
    <i>
      <x v="3"/>
    </i>
    <i r="1">
      <x v="1"/>
    </i>
    <i r="2">
      <x v="6"/>
    </i>
    <i r="2">
      <x v="7"/>
    </i>
    <i r="2">
      <x v="8"/>
    </i>
    <i r="2">
      <x v="9"/>
    </i>
    <i r="2">
      <x v="10"/>
    </i>
    <i r="2">
      <x v="11"/>
    </i>
    <i r="2">
      <x v="12"/>
    </i>
    <i r="1">
      <x v="2"/>
    </i>
    <i r="2">
      <x v="1"/>
    </i>
    <i r="2">
      <x v="2"/>
    </i>
    <i r="2">
      <x v="3"/>
    </i>
    <i r="2">
      <x v="4"/>
    </i>
    <i r="2">
      <x v="5"/>
    </i>
    <i>
      <x v="2"/>
    </i>
    <i r="1">
      <x v="1"/>
    </i>
    <i r="2">
      <x v="6"/>
    </i>
    <i r="2">
      <x v="7"/>
    </i>
    <i r="2">
      <x v="8"/>
    </i>
    <i r="2">
      <x v="9"/>
    </i>
    <i r="2">
      <x v="10"/>
    </i>
    <i r="2">
      <x v="11"/>
    </i>
    <i r="2">
      <x v="12"/>
    </i>
    <i r="1">
      <x v="2"/>
    </i>
    <i r="2">
      <x v="1"/>
    </i>
    <i r="2">
      <x v="2"/>
    </i>
    <i r="2">
      <x v="3"/>
    </i>
    <i r="2">
      <x v="4"/>
    </i>
    <i r="2">
      <x v="5"/>
    </i>
    <i>
      <x/>
    </i>
    <i r="1">
      <x v="1"/>
    </i>
    <i r="2">
      <x v="6"/>
    </i>
    <i r="2">
      <x v="7"/>
    </i>
    <i r="2">
      <x v="8"/>
    </i>
    <i r="2">
      <x v="9"/>
    </i>
    <i r="2">
      <x v="10"/>
    </i>
    <i r="2">
      <x v="11"/>
    </i>
    <i r="2">
      <x v="12"/>
    </i>
    <i r="1">
      <x v="2"/>
    </i>
    <i r="2">
      <x v="1"/>
    </i>
    <i r="2">
      <x v="2"/>
    </i>
    <i r="2">
      <x v="3"/>
    </i>
    <i r="2">
      <x v="4"/>
    </i>
    <i r="2">
      <x v="5"/>
    </i>
    <i t="grand">
      <x/>
    </i>
  </rowItems>
  <colFields count="1">
    <field x="-2"/>
  </colFields>
  <colItems count="3">
    <i>
      <x/>
    </i>
    <i i="1">
      <x v="1"/>
    </i>
    <i i="2">
      <x v="2"/>
    </i>
  </colItems>
  <dataFields count="3">
    <dataField name="Sum of Total_Followers" fld="4" baseField="0" baseItem="0" numFmtId="1"/>
    <dataField name="Sum of Net Followers" fld="7" baseField="0" baseItem="0" numFmtId="1"/>
    <dataField name="Sum of Average Total Followers" fld="8" baseField="0" baseItem="0" numFmtId="1"/>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16" format="1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1"/>
          </reference>
        </references>
      </pivotArea>
    </chartFormat>
    <chartFormat chart="16"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45E6E782-9384-4A17-94D4-46D046BFC407}" sourceName="Platform">
  <pivotTables>
    <pivotTable tabId="3" name="PivotTable16"/>
  </pivotTables>
  <data>
    <tabular pivotCacheId="207610815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A988562D-4D46-4EE8-9BD5-35CAF7AAB83A}" cache="Slicer_Platform" caption="Platform"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20E11-95A1-48A7-99DC-C7C775B69C71}">
  <dimension ref="A3:I249"/>
  <sheetViews>
    <sheetView topLeftCell="A230" workbookViewId="0">
      <selection activeCell="H16" sqref="H16"/>
    </sheetView>
  </sheetViews>
  <sheetFormatPr defaultRowHeight="14.4" x14ac:dyDescent="0.3"/>
  <cols>
    <col min="1" max="1" width="13.44140625" bestFit="1" customWidth="1"/>
    <col min="2" max="2" width="21.33203125" bestFit="1" customWidth="1"/>
    <col min="3" max="3" width="19.6640625" bestFit="1" customWidth="1"/>
  </cols>
  <sheetData>
    <row r="3" spans="1:3" x14ac:dyDescent="0.3">
      <c r="A3" s="8" t="s">
        <v>0</v>
      </c>
      <c r="B3" s="8" t="s">
        <v>1</v>
      </c>
      <c r="C3" t="s">
        <v>2</v>
      </c>
    </row>
    <row r="4" spans="1:3" x14ac:dyDescent="0.3">
      <c r="A4" s="1" t="s">
        <v>3</v>
      </c>
      <c r="B4" s="2">
        <v>14351986</v>
      </c>
      <c r="C4" s="2">
        <v>48004</v>
      </c>
    </row>
    <row r="5" spans="1:3" x14ac:dyDescent="0.3">
      <c r="A5" s="3" t="s">
        <v>4</v>
      </c>
      <c r="B5" s="2">
        <v>8293595</v>
      </c>
      <c r="C5" s="2">
        <v>29835</v>
      </c>
    </row>
    <row r="6" spans="1:3" x14ac:dyDescent="0.3">
      <c r="A6" s="4" t="s">
        <v>5</v>
      </c>
      <c r="B6" s="2">
        <v>344084</v>
      </c>
      <c r="C6" s="2">
        <v>1047</v>
      </c>
    </row>
    <row r="7" spans="1:3" x14ac:dyDescent="0.3">
      <c r="A7" s="4" t="s">
        <v>6</v>
      </c>
      <c r="B7" s="2">
        <v>49157</v>
      </c>
      <c r="C7" s="2">
        <v>517</v>
      </c>
    </row>
    <row r="8" spans="1:3" x14ac:dyDescent="0.3">
      <c r="A8" s="4" t="s">
        <v>7</v>
      </c>
      <c r="B8" s="2">
        <v>456946</v>
      </c>
      <c r="C8" s="2">
        <v>893</v>
      </c>
    </row>
    <row r="9" spans="1:3" x14ac:dyDescent="0.3">
      <c r="A9" s="4" t="s">
        <v>8</v>
      </c>
      <c r="B9" s="2">
        <v>35664</v>
      </c>
      <c r="C9" s="2">
        <v>629</v>
      </c>
    </row>
    <row r="10" spans="1:3" x14ac:dyDescent="0.3">
      <c r="A10" s="4" t="s">
        <v>9</v>
      </c>
      <c r="B10" s="2">
        <v>419447</v>
      </c>
      <c r="C10" s="2">
        <v>-219</v>
      </c>
    </row>
    <row r="11" spans="1:3" x14ac:dyDescent="0.3">
      <c r="A11" s="4" t="s">
        <v>10</v>
      </c>
      <c r="B11" s="2">
        <v>58223</v>
      </c>
      <c r="C11" s="2">
        <v>1672</v>
      </c>
    </row>
    <row r="12" spans="1:3" x14ac:dyDescent="0.3">
      <c r="A12" s="4" t="s">
        <v>11</v>
      </c>
      <c r="B12" s="2">
        <v>154169</v>
      </c>
      <c r="C12" s="2">
        <v>1845</v>
      </c>
    </row>
    <row r="13" spans="1:3" x14ac:dyDescent="0.3">
      <c r="A13" s="4" t="s">
        <v>12</v>
      </c>
      <c r="B13" s="2">
        <v>473812</v>
      </c>
      <c r="C13" s="2">
        <v>159</v>
      </c>
    </row>
    <row r="14" spans="1:3" x14ac:dyDescent="0.3">
      <c r="A14" s="4" t="s">
        <v>13</v>
      </c>
      <c r="B14" s="2">
        <v>23664</v>
      </c>
      <c r="C14" s="2">
        <v>541</v>
      </c>
    </row>
    <row r="15" spans="1:3" x14ac:dyDescent="0.3">
      <c r="A15" s="4" t="s">
        <v>14</v>
      </c>
      <c r="B15" s="2">
        <v>437968</v>
      </c>
      <c r="C15" s="2">
        <v>352</v>
      </c>
    </row>
    <row r="16" spans="1:3" x14ac:dyDescent="0.3">
      <c r="A16" s="4" t="s">
        <v>15</v>
      </c>
      <c r="B16" s="2">
        <v>489188</v>
      </c>
      <c r="C16" s="2">
        <v>1325</v>
      </c>
    </row>
    <row r="17" spans="1:3" x14ac:dyDescent="0.3">
      <c r="A17" s="4" t="s">
        <v>16</v>
      </c>
      <c r="B17" s="2">
        <v>325444</v>
      </c>
      <c r="C17" s="2">
        <v>76</v>
      </c>
    </row>
    <row r="18" spans="1:3" x14ac:dyDescent="0.3">
      <c r="A18" s="4" t="s">
        <v>17</v>
      </c>
      <c r="B18" s="2">
        <v>453799</v>
      </c>
      <c r="C18" s="2">
        <v>1609</v>
      </c>
    </row>
    <row r="19" spans="1:3" x14ac:dyDescent="0.3">
      <c r="A19" s="4" t="s">
        <v>18</v>
      </c>
      <c r="B19" s="2">
        <v>101332</v>
      </c>
      <c r="C19" s="2">
        <v>1247</v>
      </c>
    </row>
    <row r="20" spans="1:3" x14ac:dyDescent="0.3">
      <c r="A20" s="4" t="s">
        <v>19</v>
      </c>
      <c r="B20" s="2">
        <v>378054</v>
      </c>
      <c r="C20" s="2">
        <v>1572</v>
      </c>
    </row>
    <row r="21" spans="1:3" x14ac:dyDescent="0.3">
      <c r="A21" s="4" t="s">
        <v>20</v>
      </c>
      <c r="B21" s="2">
        <v>50793</v>
      </c>
      <c r="C21" s="2">
        <v>377</v>
      </c>
    </row>
    <row r="22" spans="1:3" x14ac:dyDescent="0.3">
      <c r="A22" s="4" t="s">
        <v>21</v>
      </c>
      <c r="B22" s="2">
        <v>422625</v>
      </c>
      <c r="C22" s="2">
        <v>666</v>
      </c>
    </row>
    <row r="23" spans="1:3" x14ac:dyDescent="0.3">
      <c r="A23" s="4" t="s">
        <v>22</v>
      </c>
      <c r="B23" s="2">
        <v>370269</v>
      </c>
      <c r="C23" s="2">
        <v>1025</v>
      </c>
    </row>
    <row r="24" spans="1:3" x14ac:dyDescent="0.3">
      <c r="A24" s="4" t="s">
        <v>23</v>
      </c>
      <c r="B24" s="2">
        <v>187183</v>
      </c>
      <c r="C24" s="2">
        <v>1872</v>
      </c>
    </row>
    <row r="25" spans="1:3" x14ac:dyDescent="0.3">
      <c r="A25" s="4" t="s">
        <v>24</v>
      </c>
      <c r="B25" s="2">
        <v>388555</v>
      </c>
      <c r="C25" s="2">
        <v>1224</v>
      </c>
    </row>
    <row r="26" spans="1:3" x14ac:dyDescent="0.3">
      <c r="A26" s="4" t="s">
        <v>25</v>
      </c>
      <c r="B26" s="2">
        <v>357089</v>
      </c>
      <c r="C26" s="2">
        <v>262</v>
      </c>
    </row>
    <row r="27" spans="1:3" x14ac:dyDescent="0.3">
      <c r="A27" s="4" t="s">
        <v>26</v>
      </c>
      <c r="B27" s="2">
        <v>346522</v>
      </c>
      <c r="C27" s="2">
        <v>576</v>
      </c>
    </row>
    <row r="28" spans="1:3" x14ac:dyDescent="0.3">
      <c r="A28" s="4" t="s">
        <v>27</v>
      </c>
      <c r="B28" s="2">
        <v>54935</v>
      </c>
      <c r="C28" s="2">
        <v>1397</v>
      </c>
    </row>
    <row r="29" spans="1:3" x14ac:dyDescent="0.3">
      <c r="A29" s="4" t="s">
        <v>28</v>
      </c>
      <c r="B29" s="2">
        <v>51395</v>
      </c>
      <c r="C29" s="2">
        <v>902</v>
      </c>
    </row>
    <row r="30" spans="1:3" x14ac:dyDescent="0.3">
      <c r="A30" s="4" t="s">
        <v>29</v>
      </c>
      <c r="B30" s="2">
        <v>51087</v>
      </c>
      <c r="C30" s="2">
        <v>-49</v>
      </c>
    </row>
    <row r="31" spans="1:3" x14ac:dyDescent="0.3">
      <c r="A31" s="4" t="s">
        <v>30</v>
      </c>
      <c r="B31" s="2">
        <v>282466</v>
      </c>
      <c r="C31" s="2">
        <v>1693</v>
      </c>
    </row>
    <row r="32" spans="1:3" x14ac:dyDescent="0.3">
      <c r="A32" s="4" t="s">
        <v>31</v>
      </c>
      <c r="B32" s="2">
        <v>421957</v>
      </c>
      <c r="C32" s="2">
        <v>1625</v>
      </c>
    </row>
    <row r="33" spans="1:3" x14ac:dyDescent="0.3">
      <c r="A33" s="4" t="s">
        <v>32</v>
      </c>
      <c r="B33" s="2">
        <v>220616</v>
      </c>
      <c r="C33" s="2">
        <v>1119</v>
      </c>
    </row>
    <row r="34" spans="1:3" x14ac:dyDescent="0.3">
      <c r="A34" s="4" t="s">
        <v>33</v>
      </c>
      <c r="B34" s="2">
        <v>465553</v>
      </c>
      <c r="C34" s="2">
        <v>1432</v>
      </c>
    </row>
    <row r="35" spans="1:3" x14ac:dyDescent="0.3">
      <c r="A35" s="4" t="s">
        <v>34</v>
      </c>
      <c r="B35" s="2">
        <v>280795</v>
      </c>
      <c r="C35" s="2">
        <v>684</v>
      </c>
    </row>
    <row r="36" spans="1:3" x14ac:dyDescent="0.3">
      <c r="A36" s="4" t="s">
        <v>35</v>
      </c>
      <c r="B36" s="2">
        <v>140804</v>
      </c>
      <c r="C36" s="2">
        <v>1765</v>
      </c>
    </row>
    <row r="37" spans="1:3" x14ac:dyDescent="0.3">
      <c r="A37" s="3" t="s">
        <v>36</v>
      </c>
      <c r="B37" s="2">
        <v>6058391</v>
      </c>
      <c r="C37" s="2">
        <v>18169</v>
      </c>
    </row>
    <row r="38" spans="1:3" x14ac:dyDescent="0.3">
      <c r="A38" s="4" t="s">
        <v>37</v>
      </c>
      <c r="B38" s="2">
        <v>466382</v>
      </c>
      <c r="C38" s="2">
        <v>903</v>
      </c>
    </row>
    <row r="39" spans="1:3" x14ac:dyDescent="0.3">
      <c r="A39" s="4" t="s">
        <v>38</v>
      </c>
      <c r="B39" s="2">
        <v>349413</v>
      </c>
      <c r="C39" s="2">
        <v>1722</v>
      </c>
    </row>
    <row r="40" spans="1:3" x14ac:dyDescent="0.3">
      <c r="A40" s="4" t="s">
        <v>39</v>
      </c>
      <c r="B40" s="2">
        <v>383681</v>
      </c>
      <c r="C40" s="2">
        <v>1572</v>
      </c>
    </row>
    <row r="41" spans="1:3" x14ac:dyDescent="0.3">
      <c r="A41" s="4" t="s">
        <v>40</v>
      </c>
      <c r="B41" s="2">
        <v>357265</v>
      </c>
      <c r="C41" s="2">
        <v>-166</v>
      </c>
    </row>
    <row r="42" spans="1:3" x14ac:dyDescent="0.3">
      <c r="A42" s="4" t="s">
        <v>41</v>
      </c>
      <c r="B42" s="2">
        <v>351556</v>
      </c>
      <c r="C42" s="2">
        <v>1080</v>
      </c>
    </row>
    <row r="43" spans="1:3" x14ac:dyDescent="0.3">
      <c r="A43" s="4" t="s">
        <v>42</v>
      </c>
      <c r="B43" s="2">
        <v>222126</v>
      </c>
      <c r="C43" s="2">
        <v>1723</v>
      </c>
    </row>
    <row r="44" spans="1:3" x14ac:dyDescent="0.3">
      <c r="A44" s="4" t="s">
        <v>43</v>
      </c>
      <c r="B44" s="2">
        <v>453243</v>
      </c>
      <c r="C44" s="2">
        <v>965</v>
      </c>
    </row>
    <row r="45" spans="1:3" x14ac:dyDescent="0.3">
      <c r="A45" s="4" t="s">
        <v>44</v>
      </c>
      <c r="B45" s="2">
        <v>126524</v>
      </c>
      <c r="C45" s="2">
        <v>1375</v>
      </c>
    </row>
    <row r="46" spans="1:3" x14ac:dyDescent="0.3">
      <c r="A46" s="4" t="s">
        <v>45</v>
      </c>
      <c r="B46" s="2">
        <v>257579</v>
      </c>
      <c r="C46" s="2">
        <v>1315</v>
      </c>
    </row>
    <row r="47" spans="1:3" x14ac:dyDescent="0.3">
      <c r="A47" s="4" t="s">
        <v>46</v>
      </c>
      <c r="B47" s="2">
        <v>462142</v>
      </c>
      <c r="C47" s="2">
        <v>212</v>
      </c>
    </row>
    <row r="48" spans="1:3" x14ac:dyDescent="0.3">
      <c r="A48" s="4" t="s">
        <v>47</v>
      </c>
      <c r="B48" s="2">
        <v>410330</v>
      </c>
      <c r="C48" s="2">
        <v>680</v>
      </c>
    </row>
    <row r="49" spans="1:9" x14ac:dyDescent="0.3">
      <c r="A49" s="4" t="s">
        <v>48</v>
      </c>
      <c r="B49" s="2">
        <v>364810</v>
      </c>
      <c r="C49" s="2">
        <v>461</v>
      </c>
    </row>
    <row r="50" spans="1:9" x14ac:dyDescent="0.3">
      <c r="A50" s="4" t="s">
        <v>49</v>
      </c>
      <c r="B50" s="2">
        <v>282780</v>
      </c>
      <c r="C50" s="2">
        <v>641</v>
      </c>
    </row>
    <row r="51" spans="1:9" x14ac:dyDescent="0.3">
      <c r="A51" s="4" t="s">
        <v>50</v>
      </c>
      <c r="B51" s="2">
        <v>78789</v>
      </c>
      <c r="C51" s="2">
        <v>167</v>
      </c>
    </row>
    <row r="52" spans="1:9" x14ac:dyDescent="0.3">
      <c r="A52" s="4" t="s">
        <v>51</v>
      </c>
      <c r="B52" s="2">
        <v>66682</v>
      </c>
      <c r="C52" s="2">
        <v>-160</v>
      </c>
    </row>
    <row r="53" spans="1:9" x14ac:dyDescent="0.3">
      <c r="A53" s="4" t="s">
        <v>52</v>
      </c>
      <c r="B53" s="2">
        <v>62942</v>
      </c>
      <c r="C53" s="2">
        <v>603</v>
      </c>
    </row>
    <row r="54" spans="1:9" x14ac:dyDescent="0.3">
      <c r="A54" s="4" t="s">
        <v>53</v>
      </c>
      <c r="B54" s="2">
        <v>445944</v>
      </c>
      <c r="C54" s="2">
        <v>1539</v>
      </c>
    </row>
    <row r="55" spans="1:9" x14ac:dyDescent="0.3">
      <c r="A55" s="4" t="s">
        <v>54</v>
      </c>
      <c r="B55" s="2">
        <v>447902</v>
      </c>
      <c r="C55" s="2">
        <v>1881</v>
      </c>
    </row>
    <row r="56" spans="1:9" x14ac:dyDescent="0.3">
      <c r="A56" s="4" t="s">
        <v>55</v>
      </c>
      <c r="B56" s="2">
        <v>468301</v>
      </c>
      <c r="C56" s="2">
        <v>1656</v>
      </c>
    </row>
    <row r="57" spans="1:9" x14ac:dyDescent="0.3">
      <c r="A57" s="1" t="s">
        <v>56</v>
      </c>
      <c r="B57" s="2">
        <v>13226601</v>
      </c>
      <c r="C57" s="2">
        <v>41177</v>
      </c>
    </row>
    <row r="58" spans="1:9" x14ac:dyDescent="0.3">
      <c r="A58" s="3" t="s">
        <v>4</v>
      </c>
      <c r="B58" s="2">
        <v>8378994</v>
      </c>
      <c r="C58" s="2">
        <v>25750</v>
      </c>
    </row>
    <row r="59" spans="1:9" x14ac:dyDescent="0.3">
      <c r="A59" s="4" t="s">
        <v>5</v>
      </c>
      <c r="B59" s="2">
        <v>146834</v>
      </c>
      <c r="C59" s="2">
        <v>415</v>
      </c>
    </row>
    <row r="60" spans="1:9" x14ac:dyDescent="0.3">
      <c r="A60" s="4" t="s">
        <v>6</v>
      </c>
      <c r="B60" s="2">
        <v>254347</v>
      </c>
      <c r="C60" s="2">
        <v>186</v>
      </c>
    </row>
    <row r="61" spans="1:9" x14ac:dyDescent="0.3">
      <c r="A61" s="4" t="s">
        <v>7</v>
      </c>
      <c r="B61" s="2">
        <v>122732</v>
      </c>
      <c r="C61" s="2">
        <v>1295</v>
      </c>
    </row>
    <row r="62" spans="1:9" x14ac:dyDescent="0.3">
      <c r="A62" s="4" t="s">
        <v>8</v>
      </c>
      <c r="B62" s="2">
        <v>298421</v>
      </c>
      <c r="C62" s="2">
        <v>835</v>
      </c>
    </row>
    <row r="63" spans="1:9" x14ac:dyDescent="0.3">
      <c r="A63" s="4" t="s">
        <v>9</v>
      </c>
      <c r="B63" s="2">
        <v>315305</v>
      </c>
      <c r="C63" s="2">
        <v>1357</v>
      </c>
    </row>
    <row r="64" spans="1:9" x14ac:dyDescent="0.3">
      <c r="A64" s="4" t="s">
        <v>10</v>
      </c>
      <c r="B64" s="2">
        <v>389810</v>
      </c>
      <c r="C64" s="2">
        <v>547</v>
      </c>
      <c r="D64" s="5"/>
      <c r="E64" s="5"/>
      <c r="F64" s="5"/>
      <c r="G64" s="5"/>
      <c r="H64" s="5"/>
      <c r="I64" s="5"/>
    </row>
    <row r="65" spans="1:5" ht="16.2" x14ac:dyDescent="0.3">
      <c r="A65" s="4" t="s">
        <v>11</v>
      </c>
      <c r="B65" s="2">
        <v>226002</v>
      </c>
      <c r="C65" s="2">
        <v>429</v>
      </c>
      <c r="E65" s="6"/>
    </row>
    <row r="66" spans="1:5" x14ac:dyDescent="0.3">
      <c r="A66" s="4" t="s">
        <v>12</v>
      </c>
      <c r="B66" s="2">
        <v>198278</v>
      </c>
      <c r="C66" s="2">
        <v>1316</v>
      </c>
    </row>
    <row r="67" spans="1:5" x14ac:dyDescent="0.3">
      <c r="A67" s="4" t="s">
        <v>13</v>
      </c>
      <c r="B67" s="2">
        <v>287574</v>
      </c>
      <c r="C67" s="2">
        <v>1495</v>
      </c>
    </row>
    <row r="68" spans="1:5" x14ac:dyDescent="0.3">
      <c r="A68" s="4" t="s">
        <v>14</v>
      </c>
      <c r="B68" s="2">
        <v>449994</v>
      </c>
      <c r="C68" s="2">
        <v>328</v>
      </c>
    </row>
    <row r="69" spans="1:5" x14ac:dyDescent="0.3">
      <c r="A69" s="4" t="s">
        <v>15</v>
      </c>
      <c r="B69" s="2">
        <v>434883</v>
      </c>
      <c r="C69" s="2">
        <v>37</v>
      </c>
    </row>
    <row r="70" spans="1:5" x14ac:dyDescent="0.3">
      <c r="A70" s="4" t="s">
        <v>16</v>
      </c>
      <c r="B70" s="2">
        <v>188655</v>
      </c>
      <c r="C70" s="2">
        <v>1665</v>
      </c>
    </row>
    <row r="71" spans="1:5" x14ac:dyDescent="0.3">
      <c r="A71" s="4" t="s">
        <v>17</v>
      </c>
      <c r="B71" s="2">
        <v>186454</v>
      </c>
      <c r="C71" s="2">
        <v>1229</v>
      </c>
    </row>
    <row r="72" spans="1:5" x14ac:dyDescent="0.3">
      <c r="A72" s="4" t="s">
        <v>18</v>
      </c>
      <c r="B72" s="2">
        <v>318779</v>
      </c>
      <c r="C72" s="2">
        <v>197</v>
      </c>
    </row>
    <row r="73" spans="1:5" x14ac:dyDescent="0.3">
      <c r="A73" s="4" t="s">
        <v>19</v>
      </c>
      <c r="B73" s="2">
        <v>434047</v>
      </c>
      <c r="C73" s="2">
        <v>260</v>
      </c>
    </row>
    <row r="74" spans="1:5" x14ac:dyDescent="0.3">
      <c r="A74" s="4" t="s">
        <v>20</v>
      </c>
      <c r="B74" s="2">
        <v>392355</v>
      </c>
      <c r="C74" s="2">
        <v>1125</v>
      </c>
    </row>
    <row r="75" spans="1:5" x14ac:dyDescent="0.3">
      <c r="A75" s="4" t="s">
        <v>21</v>
      </c>
      <c r="B75" s="2">
        <v>268516</v>
      </c>
      <c r="C75" s="2">
        <v>1680</v>
      </c>
    </row>
    <row r="76" spans="1:5" x14ac:dyDescent="0.3">
      <c r="A76" s="4" t="s">
        <v>22</v>
      </c>
      <c r="B76" s="2">
        <v>64906</v>
      </c>
      <c r="C76" s="2">
        <v>599</v>
      </c>
    </row>
    <row r="77" spans="1:5" x14ac:dyDescent="0.3">
      <c r="A77" s="4" t="s">
        <v>23</v>
      </c>
      <c r="B77" s="2">
        <v>476486</v>
      </c>
      <c r="C77" s="2">
        <v>107</v>
      </c>
    </row>
    <row r="78" spans="1:5" x14ac:dyDescent="0.3">
      <c r="A78" s="4" t="s">
        <v>24</v>
      </c>
      <c r="B78" s="2">
        <v>309772</v>
      </c>
      <c r="C78" s="2">
        <v>-20</v>
      </c>
    </row>
    <row r="79" spans="1:5" x14ac:dyDescent="0.3">
      <c r="A79" s="4" t="s">
        <v>25</v>
      </c>
      <c r="B79" s="2">
        <v>258287</v>
      </c>
      <c r="C79" s="2">
        <v>636</v>
      </c>
    </row>
    <row r="80" spans="1:5" x14ac:dyDescent="0.3">
      <c r="A80" s="4" t="s">
        <v>26</v>
      </c>
      <c r="B80" s="2">
        <v>240550</v>
      </c>
      <c r="C80" s="2">
        <v>37</v>
      </c>
    </row>
    <row r="81" spans="1:3" x14ac:dyDescent="0.3">
      <c r="A81" s="4" t="s">
        <v>27</v>
      </c>
      <c r="B81" s="2">
        <v>439080</v>
      </c>
      <c r="C81" s="2">
        <v>1603</v>
      </c>
    </row>
    <row r="82" spans="1:3" x14ac:dyDescent="0.3">
      <c r="A82" s="4" t="s">
        <v>28</v>
      </c>
      <c r="B82" s="2">
        <v>87305</v>
      </c>
      <c r="C82" s="2">
        <v>1150</v>
      </c>
    </row>
    <row r="83" spans="1:3" x14ac:dyDescent="0.3">
      <c r="A83" s="4" t="s">
        <v>29</v>
      </c>
      <c r="B83" s="2">
        <v>487523</v>
      </c>
      <c r="C83" s="2">
        <v>445</v>
      </c>
    </row>
    <row r="84" spans="1:3" x14ac:dyDescent="0.3">
      <c r="A84" s="4" t="s">
        <v>30</v>
      </c>
      <c r="B84" s="2">
        <v>88455</v>
      </c>
      <c r="C84" s="2">
        <v>98</v>
      </c>
    </row>
    <row r="85" spans="1:3" x14ac:dyDescent="0.3">
      <c r="A85" s="4" t="s">
        <v>31</v>
      </c>
      <c r="B85" s="2">
        <v>309904</v>
      </c>
      <c r="C85" s="2">
        <v>1173</v>
      </c>
    </row>
    <row r="86" spans="1:3" x14ac:dyDescent="0.3">
      <c r="A86" s="4" t="s">
        <v>32</v>
      </c>
      <c r="B86" s="2">
        <v>20607</v>
      </c>
      <c r="C86" s="2">
        <v>1727</v>
      </c>
    </row>
    <row r="87" spans="1:3" x14ac:dyDescent="0.3">
      <c r="A87" s="4" t="s">
        <v>33</v>
      </c>
      <c r="B87" s="2">
        <v>327183</v>
      </c>
      <c r="C87" s="2">
        <v>1359</v>
      </c>
    </row>
    <row r="88" spans="1:3" x14ac:dyDescent="0.3">
      <c r="A88" s="4" t="s">
        <v>34</v>
      </c>
      <c r="B88" s="2">
        <v>81119</v>
      </c>
      <c r="C88" s="2">
        <v>911</v>
      </c>
    </row>
    <row r="89" spans="1:3" x14ac:dyDescent="0.3">
      <c r="A89" s="4" t="s">
        <v>35</v>
      </c>
      <c r="B89" s="2">
        <v>274831</v>
      </c>
      <c r="C89" s="2">
        <v>1529</v>
      </c>
    </row>
    <row r="90" spans="1:3" x14ac:dyDescent="0.3">
      <c r="A90" s="3" t="s">
        <v>36</v>
      </c>
      <c r="B90" s="2">
        <v>4847607</v>
      </c>
      <c r="C90" s="2">
        <v>15427</v>
      </c>
    </row>
    <row r="91" spans="1:3" x14ac:dyDescent="0.3">
      <c r="A91" s="4" t="s">
        <v>37</v>
      </c>
      <c r="B91" s="2">
        <v>371156</v>
      </c>
      <c r="C91" s="2">
        <v>1188</v>
      </c>
    </row>
    <row r="92" spans="1:3" x14ac:dyDescent="0.3">
      <c r="A92" s="4" t="s">
        <v>38</v>
      </c>
      <c r="B92" s="2">
        <v>487896</v>
      </c>
      <c r="C92" s="2">
        <v>-144</v>
      </c>
    </row>
    <row r="93" spans="1:3" x14ac:dyDescent="0.3">
      <c r="A93" s="4" t="s">
        <v>39</v>
      </c>
      <c r="B93" s="2">
        <v>124404</v>
      </c>
      <c r="C93" s="2">
        <v>891</v>
      </c>
    </row>
    <row r="94" spans="1:3" x14ac:dyDescent="0.3">
      <c r="A94" s="4" t="s">
        <v>40</v>
      </c>
      <c r="B94" s="2">
        <v>262569</v>
      </c>
      <c r="C94" s="2">
        <v>1426</v>
      </c>
    </row>
    <row r="95" spans="1:3" x14ac:dyDescent="0.3">
      <c r="A95" s="4" t="s">
        <v>41</v>
      </c>
      <c r="B95" s="2">
        <v>177554</v>
      </c>
      <c r="C95" s="2">
        <v>569</v>
      </c>
    </row>
    <row r="96" spans="1:3" x14ac:dyDescent="0.3">
      <c r="A96" s="4" t="s">
        <v>42</v>
      </c>
      <c r="B96" s="2">
        <v>126582</v>
      </c>
      <c r="C96" s="2">
        <v>1202</v>
      </c>
    </row>
    <row r="97" spans="1:3" x14ac:dyDescent="0.3">
      <c r="A97" s="4" t="s">
        <v>43</v>
      </c>
      <c r="B97" s="2">
        <v>145608</v>
      </c>
      <c r="C97" s="2">
        <v>-37</v>
      </c>
    </row>
    <row r="98" spans="1:3" x14ac:dyDescent="0.3">
      <c r="A98" s="4" t="s">
        <v>44</v>
      </c>
      <c r="B98" s="2">
        <v>317007</v>
      </c>
      <c r="C98" s="2">
        <v>708</v>
      </c>
    </row>
    <row r="99" spans="1:3" x14ac:dyDescent="0.3">
      <c r="A99" s="4" t="s">
        <v>45</v>
      </c>
      <c r="B99" s="2">
        <v>466575</v>
      </c>
      <c r="C99" s="2">
        <v>899</v>
      </c>
    </row>
    <row r="100" spans="1:3" x14ac:dyDescent="0.3">
      <c r="A100" s="4" t="s">
        <v>46</v>
      </c>
      <c r="B100" s="2">
        <v>12471</v>
      </c>
      <c r="C100" s="2">
        <v>1350</v>
      </c>
    </row>
    <row r="101" spans="1:3" x14ac:dyDescent="0.3">
      <c r="A101" s="4" t="s">
        <v>47</v>
      </c>
      <c r="B101" s="2">
        <v>12447</v>
      </c>
      <c r="C101" s="2">
        <v>861</v>
      </c>
    </row>
    <row r="102" spans="1:3" x14ac:dyDescent="0.3">
      <c r="A102" s="4" t="s">
        <v>48</v>
      </c>
      <c r="B102" s="2">
        <v>211090</v>
      </c>
      <c r="C102" s="2">
        <v>292</v>
      </c>
    </row>
    <row r="103" spans="1:3" x14ac:dyDescent="0.3">
      <c r="A103" s="4" t="s">
        <v>49</v>
      </c>
      <c r="B103" s="2">
        <v>198350</v>
      </c>
      <c r="C103" s="2">
        <v>1676</v>
      </c>
    </row>
    <row r="104" spans="1:3" x14ac:dyDescent="0.3">
      <c r="A104" s="4" t="s">
        <v>50</v>
      </c>
      <c r="B104" s="2">
        <v>29589</v>
      </c>
      <c r="C104" s="2">
        <v>1007</v>
      </c>
    </row>
    <row r="105" spans="1:3" x14ac:dyDescent="0.3">
      <c r="A105" s="4" t="s">
        <v>51</v>
      </c>
      <c r="B105" s="2">
        <v>142507</v>
      </c>
      <c r="C105" s="2">
        <v>53</v>
      </c>
    </row>
    <row r="106" spans="1:3" x14ac:dyDescent="0.3">
      <c r="A106" s="4" t="s">
        <v>52</v>
      </c>
      <c r="B106" s="2">
        <v>333851</v>
      </c>
      <c r="C106" s="2">
        <v>759</v>
      </c>
    </row>
    <row r="107" spans="1:3" x14ac:dyDescent="0.3">
      <c r="A107" s="4" t="s">
        <v>53</v>
      </c>
      <c r="B107" s="2">
        <v>487289</v>
      </c>
      <c r="C107" s="2">
        <v>948</v>
      </c>
    </row>
    <row r="108" spans="1:3" x14ac:dyDescent="0.3">
      <c r="A108" s="4" t="s">
        <v>54</v>
      </c>
      <c r="B108" s="2">
        <v>484364</v>
      </c>
      <c r="C108" s="2">
        <v>1510</v>
      </c>
    </row>
    <row r="109" spans="1:3" x14ac:dyDescent="0.3">
      <c r="A109" s="4" t="s">
        <v>55</v>
      </c>
      <c r="B109" s="2">
        <v>456298</v>
      </c>
      <c r="C109" s="2">
        <v>269</v>
      </c>
    </row>
    <row r="110" spans="1:3" x14ac:dyDescent="0.3">
      <c r="A110" s="1" t="s">
        <v>57</v>
      </c>
      <c r="B110" s="2">
        <v>13779621</v>
      </c>
      <c r="C110" s="2">
        <v>35557</v>
      </c>
    </row>
    <row r="111" spans="1:3" x14ac:dyDescent="0.3">
      <c r="A111" s="3" t="s">
        <v>4</v>
      </c>
      <c r="B111" s="2">
        <v>8528522</v>
      </c>
      <c r="C111" s="2">
        <v>22366</v>
      </c>
    </row>
    <row r="112" spans="1:3" x14ac:dyDescent="0.3">
      <c r="A112" s="4" t="s">
        <v>5</v>
      </c>
      <c r="B112" s="2">
        <v>42654</v>
      </c>
      <c r="C112" s="2">
        <v>1002</v>
      </c>
    </row>
    <row r="113" spans="1:3" x14ac:dyDescent="0.3">
      <c r="A113" s="4" t="s">
        <v>6</v>
      </c>
      <c r="B113" s="2">
        <v>316555</v>
      </c>
      <c r="C113" s="2">
        <v>1283</v>
      </c>
    </row>
    <row r="114" spans="1:3" x14ac:dyDescent="0.3">
      <c r="A114" s="4" t="s">
        <v>7</v>
      </c>
      <c r="B114" s="2">
        <v>169496</v>
      </c>
      <c r="C114" s="2">
        <v>1382</v>
      </c>
    </row>
    <row r="115" spans="1:3" x14ac:dyDescent="0.3">
      <c r="A115" s="4" t="s">
        <v>8</v>
      </c>
      <c r="B115" s="2">
        <v>26295</v>
      </c>
      <c r="C115" s="2">
        <v>1670</v>
      </c>
    </row>
    <row r="116" spans="1:3" x14ac:dyDescent="0.3">
      <c r="A116" s="4" t="s">
        <v>9</v>
      </c>
      <c r="B116" s="2">
        <v>220020</v>
      </c>
      <c r="C116" s="2">
        <v>64</v>
      </c>
    </row>
    <row r="117" spans="1:3" x14ac:dyDescent="0.3">
      <c r="A117" s="4" t="s">
        <v>10</v>
      </c>
      <c r="B117" s="2">
        <v>251694</v>
      </c>
      <c r="C117" s="2">
        <v>309</v>
      </c>
    </row>
    <row r="118" spans="1:3" x14ac:dyDescent="0.3">
      <c r="A118" s="4" t="s">
        <v>11</v>
      </c>
      <c r="B118" s="2">
        <v>334626</v>
      </c>
      <c r="C118" s="2">
        <v>-164</v>
      </c>
    </row>
    <row r="119" spans="1:3" x14ac:dyDescent="0.3">
      <c r="A119" s="4" t="s">
        <v>12</v>
      </c>
      <c r="B119" s="2">
        <v>295032</v>
      </c>
      <c r="C119" s="2">
        <v>961</v>
      </c>
    </row>
    <row r="120" spans="1:3" x14ac:dyDescent="0.3">
      <c r="A120" s="4" t="s">
        <v>13</v>
      </c>
      <c r="B120" s="2">
        <v>435034</v>
      </c>
      <c r="C120" s="2">
        <v>-318</v>
      </c>
    </row>
    <row r="121" spans="1:3" x14ac:dyDescent="0.3">
      <c r="A121" s="4" t="s">
        <v>14</v>
      </c>
      <c r="B121" s="2">
        <v>125034</v>
      </c>
      <c r="C121" s="2">
        <v>-197</v>
      </c>
    </row>
    <row r="122" spans="1:3" x14ac:dyDescent="0.3">
      <c r="A122" s="4" t="s">
        <v>15</v>
      </c>
      <c r="B122" s="2">
        <v>307612</v>
      </c>
      <c r="C122" s="2">
        <v>1334</v>
      </c>
    </row>
    <row r="123" spans="1:3" x14ac:dyDescent="0.3">
      <c r="A123" s="4" t="s">
        <v>16</v>
      </c>
      <c r="B123" s="2">
        <v>183924</v>
      </c>
      <c r="C123" s="2">
        <v>1058</v>
      </c>
    </row>
    <row r="124" spans="1:3" x14ac:dyDescent="0.3">
      <c r="A124" s="4" t="s">
        <v>17</v>
      </c>
      <c r="B124" s="2">
        <v>379380</v>
      </c>
      <c r="C124" s="2">
        <v>37</v>
      </c>
    </row>
    <row r="125" spans="1:3" x14ac:dyDescent="0.3">
      <c r="A125" s="4" t="s">
        <v>18</v>
      </c>
      <c r="B125" s="2">
        <v>496982</v>
      </c>
      <c r="C125" s="2">
        <v>1045</v>
      </c>
    </row>
    <row r="126" spans="1:3" x14ac:dyDescent="0.3">
      <c r="A126" s="4" t="s">
        <v>19</v>
      </c>
      <c r="B126" s="2">
        <v>307524</v>
      </c>
      <c r="C126" s="2">
        <v>1428</v>
      </c>
    </row>
    <row r="127" spans="1:3" x14ac:dyDescent="0.3">
      <c r="A127" s="4" t="s">
        <v>20</v>
      </c>
      <c r="B127" s="2">
        <v>474162</v>
      </c>
      <c r="C127" s="2">
        <v>98</v>
      </c>
    </row>
    <row r="128" spans="1:3" x14ac:dyDescent="0.3">
      <c r="A128" s="4" t="s">
        <v>21</v>
      </c>
      <c r="B128" s="2">
        <v>239753</v>
      </c>
      <c r="C128" s="2">
        <v>-19</v>
      </c>
    </row>
    <row r="129" spans="1:3" x14ac:dyDescent="0.3">
      <c r="A129" s="4" t="s">
        <v>22</v>
      </c>
      <c r="B129" s="2">
        <v>453423</v>
      </c>
      <c r="C129" s="2">
        <v>-179</v>
      </c>
    </row>
    <row r="130" spans="1:3" x14ac:dyDescent="0.3">
      <c r="A130" s="4" t="s">
        <v>23</v>
      </c>
      <c r="B130" s="2">
        <v>379363</v>
      </c>
      <c r="C130" s="2">
        <v>1662</v>
      </c>
    </row>
    <row r="131" spans="1:3" x14ac:dyDescent="0.3">
      <c r="A131" s="4" t="s">
        <v>24</v>
      </c>
      <c r="B131" s="2">
        <v>157599</v>
      </c>
      <c r="C131" s="2">
        <v>285</v>
      </c>
    </row>
    <row r="132" spans="1:3" x14ac:dyDescent="0.3">
      <c r="A132" s="4" t="s">
        <v>25</v>
      </c>
      <c r="B132" s="2">
        <v>23492</v>
      </c>
      <c r="C132" s="2">
        <v>439</v>
      </c>
    </row>
    <row r="133" spans="1:3" x14ac:dyDescent="0.3">
      <c r="A133" s="4" t="s">
        <v>26</v>
      </c>
      <c r="B133" s="2">
        <v>209987</v>
      </c>
      <c r="C133" s="2">
        <v>386</v>
      </c>
    </row>
    <row r="134" spans="1:3" x14ac:dyDescent="0.3">
      <c r="A134" s="4" t="s">
        <v>27</v>
      </c>
      <c r="B134" s="2">
        <v>319186</v>
      </c>
      <c r="C134" s="2">
        <v>540</v>
      </c>
    </row>
    <row r="135" spans="1:3" x14ac:dyDescent="0.3">
      <c r="A135" s="4" t="s">
        <v>28</v>
      </c>
      <c r="B135" s="2">
        <v>309483</v>
      </c>
      <c r="C135" s="2">
        <v>-106</v>
      </c>
    </row>
    <row r="136" spans="1:3" x14ac:dyDescent="0.3">
      <c r="A136" s="4" t="s">
        <v>29</v>
      </c>
      <c r="B136" s="2">
        <v>338847</v>
      </c>
      <c r="C136" s="2">
        <v>72</v>
      </c>
    </row>
    <row r="137" spans="1:3" x14ac:dyDescent="0.3">
      <c r="A137" s="4" t="s">
        <v>30</v>
      </c>
      <c r="B137" s="2">
        <v>336661</v>
      </c>
      <c r="C137" s="2">
        <v>1332</v>
      </c>
    </row>
    <row r="138" spans="1:3" x14ac:dyDescent="0.3">
      <c r="A138" s="4" t="s">
        <v>31</v>
      </c>
      <c r="B138" s="2">
        <v>470269</v>
      </c>
      <c r="C138" s="2">
        <v>1706</v>
      </c>
    </row>
    <row r="139" spans="1:3" x14ac:dyDescent="0.3">
      <c r="A139" s="4" t="s">
        <v>32</v>
      </c>
      <c r="B139" s="2">
        <v>35842</v>
      </c>
      <c r="C139" s="2">
        <v>1373</v>
      </c>
    </row>
    <row r="140" spans="1:3" x14ac:dyDescent="0.3">
      <c r="A140" s="4" t="s">
        <v>33</v>
      </c>
      <c r="B140" s="2">
        <v>415815</v>
      </c>
      <c r="C140" s="2">
        <v>1377</v>
      </c>
    </row>
    <row r="141" spans="1:3" x14ac:dyDescent="0.3">
      <c r="A141" s="4" t="s">
        <v>34</v>
      </c>
      <c r="B141" s="2">
        <v>93347</v>
      </c>
      <c r="C141" s="2">
        <v>730</v>
      </c>
    </row>
    <row r="142" spans="1:3" x14ac:dyDescent="0.3">
      <c r="A142" s="4" t="s">
        <v>35</v>
      </c>
      <c r="B142" s="2">
        <v>379431</v>
      </c>
      <c r="C142" s="2">
        <v>1776</v>
      </c>
    </row>
    <row r="143" spans="1:3" x14ac:dyDescent="0.3">
      <c r="A143" s="3" t="s">
        <v>36</v>
      </c>
      <c r="B143" s="2">
        <v>5251099</v>
      </c>
      <c r="C143" s="2">
        <v>13191</v>
      </c>
    </row>
    <row r="144" spans="1:3" x14ac:dyDescent="0.3">
      <c r="A144" s="4" t="s">
        <v>37</v>
      </c>
      <c r="B144" s="2">
        <v>95728</v>
      </c>
      <c r="C144" s="2">
        <v>620</v>
      </c>
    </row>
    <row r="145" spans="1:3" x14ac:dyDescent="0.3">
      <c r="A145" s="4" t="s">
        <v>38</v>
      </c>
      <c r="B145" s="2">
        <v>224699</v>
      </c>
      <c r="C145" s="2">
        <v>298</v>
      </c>
    </row>
    <row r="146" spans="1:3" x14ac:dyDescent="0.3">
      <c r="A146" s="4" t="s">
        <v>39</v>
      </c>
      <c r="B146" s="2">
        <v>479490</v>
      </c>
      <c r="C146" s="2">
        <v>427</v>
      </c>
    </row>
    <row r="147" spans="1:3" x14ac:dyDescent="0.3">
      <c r="A147" s="4" t="s">
        <v>40</v>
      </c>
      <c r="B147" s="2">
        <v>321307</v>
      </c>
      <c r="C147" s="2">
        <v>898</v>
      </c>
    </row>
    <row r="148" spans="1:3" x14ac:dyDescent="0.3">
      <c r="A148" s="4" t="s">
        <v>41</v>
      </c>
      <c r="B148" s="2">
        <v>135987</v>
      </c>
      <c r="C148" s="2">
        <v>748</v>
      </c>
    </row>
    <row r="149" spans="1:3" x14ac:dyDescent="0.3">
      <c r="A149" s="4" t="s">
        <v>42</v>
      </c>
      <c r="B149" s="2">
        <v>309914</v>
      </c>
      <c r="C149" s="2">
        <v>912</v>
      </c>
    </row>
    <row r="150" spans="1:3" x14ac:dyDescent="0.3">
      <c r="A150" s="4" t="s">
        <v>43</v>
      </c>
      <c r="B150" s="2">
        <v>104967</v>
      </c>
      <c r="C150" s="2">
        <v>1590</v>
      </c>
    </row>
    <row r="151" spans="1:3" x14ac:dyDescent="0.3">
      <c r="A151" s="4" t="s">
        <v>44</v>
      </c>
      <c r="B151" s="2">
        <v>230448</v>
      </c>
      <c r="C151" s="2">
        <v>1707</v>
      </c>
    </row>
    <row r="152" spans="1:3" x14ac:dyDescent="0.3">
      <c r="A152" s="4" t="s">
        <v>45</v>
      </c>
      <c r="B152" s="2">
        <v>366881</v>
      </c>
      <c r="C152" s="2">
        <v>-119</v>
      </c>
    </row>
    <row r="153" spans="1:3" x14ac:dyDescent="0.3">
      <c r="A153" s="4" t="s">
        <v>46</v>
      </c>
      <c r="B153" s="2">
        <v>340842</v>
      </c>
      <c r="C153" s="2">
        <v>908</v>
      </c>
    </row>
    <row r="154" spans="1:3" x14ac:dyDescent="0.3">
      <c r="A154" s="4" t="s">
        <v>47</v>
      </c>
      <c r="B154" s="2">
        <v>342129</v>
      </c>
      <c r="C154" s="2">
        <v>1116</v>
      </c>
    </row>
    <row r="155" spans="1:3" x14ac:dyDescent="0.3">
      <c r="A155" s="4" t="s">
        <v>48</v>
      </c>
      <c r="B155" s="2">
        <v>373606</v>
      </c>
      <c r="C155" s="2">
        <v>474</v>
      </c>
    </row>
    <row r="156" spans="1:3" x14ac:dyDescent="0.3">
      <c r="A156" s="4" t="s">
        <v>49</v>
      </c>
      <c r="B156" s="2">
        <v>370070</v>
      </c>
      <c r="C156" s="2">
        <v>514</v>
      </c>
    </row>
    <row r="157" spans="1:3" x14ac:dyDescent="0.3">
      <c r="A157" s="4" t="s">
        <v>50</v>
      </c>
      <c r="B157" s="2">
        <v>98596</v>
      </c>
      <c r="C157" s="2">
        <v>1029</v>
      </c>
    </row>
    <row r="158" spans="1:3" x14ac:dyDescent="0.3">
      <c r="A158" s="4" t="s">
        <v>51</v>
      </c>
      <c r="B158" s="2">
        <v>70707</v>
      </c>
      <c r="C158" s="2">
        <v>-175</v>
      </c>
    </row>
    <row r="159" spans="1:3" x14ac:dyDescent="0.3">
      <c r="A159" s="4" t="s">
        <v>52</v>
      </c>
      <c r="B159" s="2">
        <v>377382</v>
      </c>
      <c r="C159" s="2">
        <v>1045</v>
      </c>
    </row>
    <row r="160" spans="1:3" x14ac:dyDescent="0.3">
      <c r="A160" s="4" t="s">
        <v>53</v>
      </c>
      <c r="B160" s="2">
        <v>224830</v>
      </c>
      <c r="C160" s="2">
        <v>453</v>
      </c>
    </row>
    <row r="161" spans="1:3" x14ac:dyDescent="0.3">
      <c r="A161" s="4" t="s">
        <v>54</v>
      </c>
      <c r="B161" s="2">
        <v>418696</v>
      </c>
      <c r="C161" s="2">
        <v>339</v>
      </c>
    </row>
    <row r="162" spans="1:3" x14ac:dyDescent="0.3">
      <c r="A162" s="4" t="s">
        <v>55</v>
      </c>
      <c r="B162" s="2">
        <v>364820</v>
      </c>
      <c r="C162" s="2">
        <v>407</v>
      </c>
    </row>
    <row r="163" spans="1:3" x14ac:dyDescent="0.3">
      <c r="A163" s="1" t="s">
        <v>58</v>
      </c>
      <c r="B163" s="2">
        <v>11527814</v>
      </c>
      <c r="C163" s="2">
        <v>35367</v>
      </c>
    </row>
    <row r="164" spans="1:3" x14ac:dyDescent="0.3">
      <c r="A164" s="3" t="s">
        <v>4</v>
      </c>
      <c r="B164" s="2">
        <v>6901809</v>
      </c>
      <c r="C164" s="2">
        <v>20290</v>
      </c>
    </row>
    <row r="165" spans="1:3" x14ac:dyDescent="0.3">
      <c r="A165" s="4" t="s">
        <v>5</v>
      </c>
      <c r="B165" s="2">
        <v>395536</v>
      </c>
      <c r="C165" s="2">
        <v>1090</v>
      </c>
    </row>
    <row r="166" spans="1:3" x14ac:dyDescent="0.3">
      <c r="A166" s="4" t="s">
        <v>6</v>
      </c>
      <c r="B166" s="2">
        <v>413878</v>
      </c>
      <c r="C166" s="2">
        <v>994</v>
      </c>
    </row>
    <row r="167" spans="1:3" x14ac:dyDescent="0.3">
      <c r="A167" s="4" t="s">
        <v>7</v>
      </c>
      <c r="B167" s="2">
        <v>382851</v>
      </c>
      <c r="C167" s="2">
        <v>337</v>
      </c>
    </row>
    <row r="168" spans="1:3" x14ac:dyDescent="0.3">
      <c r="A168" s="4" t="s">
        <v>8</v>
      </c>
      <c r="B168" s="2">
        <v>426184</v>
      </c>
      <c r="C168" s="2">
        <v>-123</v>
      </c>
    </row>
    <row r="169" spans="1:3" x14ac:dyDescent="0.3">
      <c r="A169" s="4" t="s">
        <v>9</v>
      </c>
      <c r="B169" s="2">
        <v>113678</v>
      </c>
      <c r="C169" s="2">
        <v>91</v>
      </c>
    </row>
    <row r="170" spans="1:3" x14ac:dyDescent="0.3">
      <c r="A170" s="4" t="s">
        <v>10</v>
      </c>
      <c r="B170" s="2">
        <v>233694</v>
      </c>
      <c r="C170" s="2">
        <v>514</v>
      </c>
    </row>
    <row r="171" spans="1:3" x14ac:dyDescent="0.3">
      <c r="A171" s="4" t="s">
        <v>11</v>
      </c>
      <c r="B171" s="2">
        <v>156683</v>
      </c>
      <c r="C171" s="2">
        <v>160</v>
      </c>
    </row>
    <row r="172" spans="1:3" x14ac:dyDescent="0.3">
      <c r="A172" s="4" t="s">
        <v>12</v>
      </c>
      <c r="B172" s="2">
        <v>306564</v>
      </c>
      <c r="C172" s="2">
        <v>317</v>
      </c>
    </row>
    <row r="173" spans="1:3" x14ac:dyDescent="0.3">
      <c r="A173" s="4" t="s">
        <v>13</v>
      </c>
      <c r="B173" s="2">
        <v>62499</v>
      </c>
      <c r="C173" s="2">
        <v>475</v>
      </c>
    </row>
    <row r="174" spans="1:3" x14ac:dyDescent="0.3">
      <c r="A174" s="4" t="s">
        <v>14</v>
      </c>
      <c r="B174" s="2">
        <v>320650</v>
      </c>
      <c r="C174" s="2">
        <v>319</v>
      </c>
    </row>
    <row r="175" spans="1:3" x14ac:dyDescent="0.3">
      <c r="A175" s="4" t="s">
        <v>15</v>
      </c>
      <c r="B175" s="2">
        <v>102042</v>
      </c>
      <c r="C175" s="2">
        <v>1032</v>
      </c>
    </row>
    <row r="176" spans="1:3" x14ac:dyDescent="0.3">
      <c r="A176" s="4" t="s">
        <v>16</v>
      </c>
      <c r="B176" s="2">
        <v>87443</v>
      </c>
      <c r="C176" s="2">
        <v>190</v>
      </c>
    </row>
    <row r="177" spans="1:3" x14ac:dyDescent="0.3">
      <c r="A177" s="4" t="s">
        <v>17</v>
      </c>
      <c r="B177" s="2">
        <v>239044</v>
      </c>
      <c r="C177" s="2">
        <v>28</v>
      </c>
    </row>
    <row r="178" spans="1:3" x14ac:dyDescent="0.3">
      <c r="A178" s="4" t="s">
        <v>18</v>
      </c>
      <c r="B178" s="2">
        <v>370971</v>
      </c>
      <c r="C178" s="2">
        <v>333</v>
      </c>
    </row>
    <row r="179" spans="1:3" x14ac:dyDescent="0.3">
      <c r="A179" s="4" t="s">
        <v>19</v>
      </c>
      <c r="B179" s="2">
        <v>64583</v>
      </c>
      <c r="C179" s="2">
        <v>1100</v>
      </c>
    </row>
    <row r="180" spans="1:3" x14ac:dyDescent="0.3">
      <c r="A180" s="4" t="s">
        <v>20</v>
      </c>
      <c r="B180" s="2">
        <v>119934</v>
      </c>
      <c r="C180" s="2">
        <v>-32</v>
      </c>
    </row>
    <row r="181" spans="1:3" x14ac:dyDescent="0.3">
      <c r="A181" s="4" t="s">
        <v>21</v>
      </c>
      <c r="B181" s="2">
        <v>63177</v>
      </c>
      <c r="C181" s="2">
        <v>1006</v>
      </c>
    </row>
    <row r="182" spans="1:3" x14ac:dyDescent="0.3">
      <c r="A182" s="4" t="s">
        <v>22</v>
      </c>
      <c r="B182" s="2">
        <v>94360</v>
      </c>
      <c r="C182" s="2">
        <v>1706</v>
      </c>
    </row>
    <row r="183" spans="1:3" x14ac:dyDescent="0.3">
      <c r="A183" s="4" t="s">
        <v>23</v>
      </c>
      <c r="B183" s="2">
        <v>117767</v>
      </c>
      <c r="C183" s="2">
        <v>118</v>
      </c>
    </row>
    <row r="184" spans="1:3" x14ac:dyDescent="0.3">
      <c r="A184" s="4" t="s">
        <v>24</v>
      </c>
      <c r="B184" s="2">
        <v>199178</v>
      </c>
      <c r="C184" s="2">
        <v>367</v>
      </c>
    </row>
    <row r="185" spans="1:3" x14ac:dyDescent="0.3">
      <c r="A185" s="4" t="s">
        <v>25</v>
      </c>
      <c r="B185" s="2">
        <v>256910</v>
      </c>
      <c r="C185" s="2">
        <v>1484</v>
      </c>
    </row>
    <row r="186" spans="1:3" x14ac:dyDescent="0.3">
      <c r="A186" s="4" t="s">
        <v>26</v>
      </c>
      <c r="B186" s="2">
        <v>305827</v>
      </c>
      <c r="C186" s="2">
        <v>1657</v>
      </c>
    </row>
    <row r="187" spans="1:3" x14ac:dyDescent="0.3">
      <c r="A187" s="4" t="s">
        <v>27</v>
      </c>
      <c r="B187" s="2">
        <v>258944</v>
      </c>
      <c r="C187" s="2">
        <v>1044</v>
      </c>
    </row>
    <row r="188" spans="1:3" x14ac:dyDescent="0.3">
      <c r="A188" s="4" t="s">
        <v>28</v>
      </c>
      <c r="B188" s="2">
        <v>121091</v>
      </c>
      <c r="C188" s="2">
        <v>349</v>
      </c>
    </row>
    <row r="189" spans="1:3" x14ac:dyDescent="0.3">
      <c r="A189" s="4" t="s">
        <v>29</v>
      </c>
      <c r="B189" s="2">
        <v>301695</v>
      </c>
      <c r="C189" s="2">
        <v>60</v>
      </c>
    </row>
    <row r="190" spans="1:3" x14ac:dyDescent="0.3">
      <c r="A190" s="4" t="s">
        <v>30</v>
      </c>
      <c r="B190" s="2">
        <v>62535</v>
      </c>
      <c r="C190" s="2">
        <v>885</v>
      </c>
    </row>
    <row r="191" spans="1:3" x14ac:dyDescent="0.3">
      <c r="A191" s="4" t="s">
        <v>31</v>
      </c>
      <c r="B191" s="2">
        <v>221274</v>
      </c>
      <c r="C191" s="2">
        <v>291</v>
      </c>
    </row>
    <row r="192" spans="1:3" x14ac:dyDescent="0.3">
      <c r="A192" s="4" t="s">
        <v>32</v>
      </c>
      <c r="B192" s="2">
        <v>451894</v>
      </c>
      <c r="C192" s="2">
        <v>573</v>
      </c>
    </row>
    <row r="193" spans="1:3" x14ac:dyDescent="0.3">
      <c r="A193" s="4" t="s">
        <v>33</v>
      </c>
      <c r="B193" s="2">
        <v>488901</v>
      </c>
      <c r="C193" s="2">
        <v>876</v>
      </c>
    </row>
    <row r="194" spans="1:3" x14ac:dyDescent="0.3">
      <c r="A194" s="4" t="s">
        <v>34</v>
      </c>
      <c r="B194" s="2">
        <v>25177</v>
      </c>
      <c r="C194" s="2">
        <v>1589</v>
      </c>
    </row>
    <row r="195" spans="1:3" x14ac:dyDescent="0.3">
      <c r="A195" s="4" t="s">
        <v>35</v>
      </c>
      <c r="B195" s="2">
        <v>136845</v>
      </c>
      <c r="C195" s="2">
        <v>1460</v>
      </c>
    </row>
    <row r="196" spans="1:3" x14ac:dyDescent="0.3">
      <c r="A196" s="3" t="s">
        <v>36</v>
      </c>
      <c r="B196" s="2">
        <v>4626005</v>
      </c>
      <c r="C196" s="2">
        <v>15077</v>
      </c>
    </row>
    <row r="197" spans="1:3" x14ac:dyDescent="0.3">
      <c r="A197" s="4" t="s">
        <v>37</v>
      </c>
      <c r="B197" s="2">
        <v>95410</v>
      </c>
      <c r="C197" s="2">
        <v>846</v>
      </c>
    </row>
    <row r="198" spans="1:3" x14ac:dyDescent="0.3">
      <c r="A198" s="4" t="s">
        <v>38</v>
      </c>
      <c r="B198" s="2">
        <v>14437</v>
      </c>
      <c r="C198" s="2">
        <v>901</v>
      </c>
    </row>
    <row r="199" spans="1:3" x14ac:dyDescent="0.3">
      <c r="A199" s="4" t="s">
        <v>39</v>
      </c>
      <c r="B199" s="2">
        <v>336949</v>
      </c>
      <c r="C199" s="2">
        <v>724</v>
      </c>
    </row>
    <row r="200" spans="1:3" x14ac:dyDescent="0.3">
      <c r="A200" s="4" t="s">
        <v>40</v>
      </c>
      <c r="B200" s="2">
        <v>461669</v>
      </c>
      <c r="C200" s="2">
        <v>1225</v>
      </c>
    </row>
    <row r="201" spans="1:3" x14ac:dyDescent="0.3">
      <c r="A201" s="4" t="s">
        <v>41</v>
      </c>
      <c r="B201" s="2">
        <v>270766</v>
      </c>
      <c r="C201" s="2">
        <v>-203</v>
      </c>
    </row>
    <row r="202" spans="1:3" x14ac:dyDescent="0.3">
      <c r="A202" s="4" t="s">
        <v>42</v>
      </c>
      <c r="B202" s="2">
        <v>485280</v>
      </c>
      <c r="C202" s="2">
        <v>1444</v>
      </c>
    </row>
    <row r="203" spans="1:3" x14ac:dyDescent="0.3">
      <c r="A203" s="4" t="s">
        <v>43</v>
      </c>
      <c r="B203" s="2">
        <v>105980</v>
      </c>
      <c r="C203" s="2">
        <v>1175</v>
      </c>
    </row>
    <row r="204" spans="1:3" x14ac:dyDescent="0.3">
      <c r="A204" s="4" t="s">
        <v>44</v>
      </c>
      <c r="B204" s="2">
        <v>464239</v>
      </c>
      <c r="C204" s="2">
        <v>1016</v>
      </c>
    </row>
    <row r="205" spans="1:3" x14ac:dyDescent="0.3">
      <c r="A205" s="4" t="s">
        <v>45</v>
      </c>
      <c r="B205" s="2">
        <v>224534</v>
      </c>
      <c r="C205" s="2">
        <v>315</v>
      </c>
    </row>
    <row r="206" spans="1:3" x14ac:dyDescent="0.3">
      <c r="A206" s="4" t="s">
        <v>46</v>
      </c>
      <c r="B206" s="2">
        <v>98397</v>
      </c>
      <c r="C206" s="2">
        <v>1242</v>
      </c>
    </row>
    <row r="207" spans="1:3" x14ac:dyDescent="0.3">
      <c r="A207" s="4" t="s">
        <v>47</v>
      </c>
      <c r="B207" s="2">
        <v>17380</v>
      </c>
      <c r="C207" s="2">
        <v>1385</v>
      </c>
    </row>
    <row r="208" spans="1:3" x14ac:dyDescent="0.3">
      <c r="A208" s="4" t="s">
        <v>48</v>
      </c>
      <c r="B208" s="2">
        <v>441931</v>
      </c>
      <c r="C208" s="2">
        <v>389</v>
      </c>
    </row>
    <row r="209" spans="1:3" x14ac:dyDescent="0.3">
      <c r="A209" s="4" t="s">
        <v>49</v>
      </c>
      <c r="B209" s="2">
        <v>435726</v>
      </c>
      <c r="C209" s="2">
        <v>1467</v>
      </c>
    </row>
    <row r="210" spans="1:3" x14ac:dyDescent="0.3">
      <c r="A210" s="4" t="s">
        <v>50</v>
      </c>
      <c r="B210" s="2">
        <v>290354</v>
      </c>
      <c r="C210" s="2">
        <v>209</v>
      </c>
    </row>
    <row r="211" spans="1:3" x14ac:dyDescent="0.3">
      <c r="A211" s="4" t="s">
        <v>51</v>
      </c>
      <c r="B211" s="2">
        <v>369525</v>
      </c>
      <c r="C211" s="2">
        <v>145</v>
      </c>
    </row>
    <row r="212" spans="1:3" x14ac:dyDescent="0.3">
      <c r="A212" s="4" t="s">
        <v>52</v>
      </c>
      <c r="B212" s="2">
        <v>270958</v>
      </c>
      <c r="C212" s="2">
        <v>1633</v>
      </c>
    </row>
    <row r="213" spans="1:3" x14ac:dyDescent="0.3">
      <c r="A213" s="4" t="s">
        <v>53</v>
      </c>
      <c r="B213" s="2">
        <v>11435</v>
      </c>
      <c r="C213" s="2">
        <v>637</v>
      </c>
    </row>
    <row r="214" spans="1:3" x14ac:dyDescent="0.3">
      <c r="A214" s="4" t="s">
        <v>54</v>
      </c>
      <c r="B214" s="2">
        <v>148477</v>
      </c>
      <c r="C214" s="2">
        <v>864</v>
      </c>
    </row>
    <row r="215" spans="1:3" x14ac:dyDescent="0.3">
      <c r="A215" s="4" t="s">
        <v>55</v>
      </c>
      <c r="B215" s="2">
        <v>82558</v>
      </c>
      <c r="C215" s="2">
        <v>-337</v>
      </c>
    </row>
    <row r="216" spans="1:3" x14ac:dyDescent="0.3">
      <c r="A216" s="1" t="s">
        <v>59</v>
      </c>
      <c r="B216" s="2">
        <v>52886022</v>
      </c>
      <c r="C216" s="2">
        <v>160105</v>
      </c>
    </row>
    <row r="243" spans="1:1" x14ac:dyDescent="0.3">
      <c r="A243" s="7" t="s">
        <v>60</v>
      </c>
    </row>
    <row r="245" spans="1:1" x14ac:dyDescent="0.3">
      <c r="A245" s="7" t="s">
        <v>61</v>
      </c>
    </row>
    <row r="247" spans="1:1" x14ac:dyDescent="0.3">
      <c r="A247" s="7" t="s">
        <v>62</v>
      </c>
    </row>
    <row r="249" spans="1:1" x14ac:dyDescent="0.3">
      <c r="A249" s="7" t="s">
        <v>63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853EC-F7D0-43E5-A968-29E854EE9957}">
  <dimension ref="A3:AF264"/>
  <sheetViews>
    <sheetView topLeftCell="A38" workbookViewId="0">
      <selection activeCell="L50" sqref="L50"/>
    </sheetView>
  </sheetViews>
  <sheetFormatPr defaultRowHeight="14.4" x14ac:dyDescent="0.3"/>
  <cols>
    <col min="1" max="1" width="18.5546875" style="9" bestFit="1" customWidth="1"/>
    <col min="2" max="2" width="19" bestFit="1" customWidth="1"/>
  </cols>
  <sheetData>
    <row r="3" spans="1:2" x14ac:dyDescent="0.3">
      <c r="A3" s="15" t="s">
        <v>64</v>
      </c>
      <c r="B3" t="s">
        <v>2</v>
      </c>
    </row>
    <row r="4" spans="1:2" x14ac:dyDescent="0.3">
      <c r="A4" s="10" t="s">
        <v>57</v>
      </c>
      <c r="B4" s="2">
        <v>35557</v>
      </c>
    </row>
    <row r="5" spans="1:2" x14ac:dyDescent="0.3">
      <c r="A5" s="3" t="s">
        <v>4</v>
      </c>
      <c r="B5" s="2">
        <v>22366</v>
      </c>
    </row>
    <row r="6" spans="1:2" x14ac:dyDescent="0.3">
      <c r="A6" s="4" t="s">
        <v>65</v>
      </c>
      <c r="B6" s="2">
        <v>5337</v>
      </c>
    </row>
    <row r="7" spans="1:2" x14ac:dyDescent="0.3">
      <c r="A7" s="11">
        <v>45446</v>
      </c>
      <c r="B7" s="2">
        <v>1002</v>
      </c>
    </row>
    <row r="8" spans="1:2" x14ac:dyDescent="0.3">
      <c r="A8" s="11">
        <v>45453</v>
      </c>
      <c r="B8" s="2">
        <v>1283</v>
      </c>
    </row>
    <row r="9" spans="1:2" x14ac:dyDescent="0.3">
      <c r="A9" s="11">
        <v>45460</v>
      </c>
      <c r="B9" s="2">
        <v>1382</v>
      </c>
    </row>
    <row r="10" spans="1:2" x14ac:dyDescent="0.3">
      <c r="A10" s="11">
        <v>45467</v>
      </c>
      <c r="B10" s="2">
        <v>1670</v>
      </c>
    </row>
    <row r="11" spans="1:2" x14ac:dyDescent="0.3">
      <c r="A11" s="4" t="s">
        <v>66</v>
      </c>
      <c r="B11" s="2">
        <v>852</v>
      </c>
    </row>
    <row r="12" spans="1:2" x14ac:dyDescent="0.3">
      <c r="A12" s="11">
        <v>45474</v>
      </c>
      <c r="B12" s="2">
        <v>64</v>
      </c>
    </row>
    <row r="13" spans="1:2" x14ac:dyDescent="0.3">
      <c r="A13" s="11">
        <v>45481</v>
      </c>
      <c r="B13" s="2">
        <v>309</v>
      </c>
    </row>
    <row r="14" spans="1:2" x14ac:dyDescent="0.3">
      <c r="A14" s="11">
        <v>45488</v>
      </c>
      <c r="B14" s="2">
        <v>-164</v>
      </c>
    </row>
    <row r="15" spans="1:2" x14ac:dyDescent="0.3">
      <c r="A15" s="11">
        <v>45495</v>
      </c>
      <c r="B15" s="2">
        <v>961</v>
      </c>
    </row>
    <row r="16" spans="1:2" x14ac:dyDescent="0.3">
      <c r="A16" s="11">
        <v>45502</v>
      </c>
      <c r="B16" s="2">
        <v>-318</v>
      </c>
    </row>
    <row r="17" spans="1:2" x14ac:dyDescent="0.3">
      <c r="A17" s="4" t="s">
        <v>67</v>
      </c>
      <c r="B17" s="2">
        <v>2232</v>
      </c>
    </row>
    <row r="18" spans="1:2" x14ac:dyDescent="0.3">
      <c r="A18" s="11">
        <v>45509</v>
      </c>
      <c r="B18" s="2">
        <v>-197</v>
      </c>
    </row>
    <row r="19" spans="1:2" x14ac:dyDescent="0.3">
      <c r="A19" s="11">
        <v>45516</v>
      </c>
      <c r="B19" s="2">
        <v>1334</v>
      </c>
    </row>
    <row r="20" spans="1:2" x14ac:dyDescent="0.3">
      <c r="A20" s="11">
        <v>45523</v>
      </c>
      <c r="B20" s="2">
        <v>1058</v>
      </c>
    </row>
    <row r="21" spans="1:2" x14ac:dyDescent="0.3">
      <c r="A21" s="11">
        <v>45530</v>
      </c>
      <c r="B21" s="2">
        <v>37</v>
      </c>
    </row>
    <row r="22" spans="1:2" x14ac:dyDescent="0.3">
      <c r="A22" s="4" t="s">
        <v>68</v>
      </c>
      <c r="B22" s="2">
        <v>2373</v>
      </c>
    </row>
    <row r="23" spans="1:2" x14ac:dyDescent="0.3">
      <c r="A23" s="11">
        <v>45537</v>
      </c>
      <c r="B23" s="2">
        <v>1045</v>
      </c>
    </row>
    <row r="24" spans="1:2" x14ac:dyDescent="0.3">
      <c r="A24" s="11">
        <v>45544</v>
      </c>
      <c r="B24" s="2">
        <v>1428</v>
      </c>
    </row>
    <row r="25" spans="1:2" x14ac:dyDescent="0.3">
      <c r="A25" s="11">
        <v>45551</v>
      </c>
      <c r="B25" s="2">
        <v>98</v>
      </c>
    </row>
    <row r="26" spans="1:2" x14ac:dyDescent="0.3">
      <c r="A26" s="11">
        <v>45558</v>
      </c>
      <c r="B26" s="2">
        <v>-19</v>
      </c>
    </row>
    <row r="27" spans="1:2" x14ac:dyDescent="0.3">
      <c r="A27" s="11">
        <v>45565</v>
      </c>
      <c r="B27" s="2">
        <v>-179</v>
      </c>
    </row>
    <row r="28" spans="1:2" x14ac:dyDescent="0.3">
      <c r="A28" s="4" t="s">
        <v>69</v>
      </c>
      <c r="B28" s="2">
        <v>2772</v>
      </c>
    </row>
    <row r="29" spans="1:2" x14ac:dyDescent="0.3">
      <c r="A29" s="11">
        <v>45572</v>
      </c>
      <c r="B29" s="2">
        <v>1662</v>
      </c>
    </row>
    <row r="30" spans="1:2" x14ac:dyDescent="0.3">
      <c r="A30" s="11">
        <v>45579</v>
      </c>
      <c r="B30" s="2">
        <v>285</v>
      </c>
    </row>
    <row r="31" spans="1:2" x14ac:dyDescent="0.3">
      <c r="A31" s="11">
        <v>45586</v>
      </c>
      <c r="B31" s="2">
        <v>439</v>
      </c>
    </row>
    <row r="32" spans="1:2" x14ac:dyDescent="0.3">
      <c r="A32" s="11">
        <v>45593</v>
      </c>
      <c r="B32" s="2">
        <v>386</v>
      </c>
    </row>
    <row r="33" spans="1:12" x14ac:dyDescent="0.3">
      <c r="A33" s="4" t="s">
        <v>70</v>
      </c>
      <c r="B33" s="2">
        <v>1838</v>
      </c>
    </row>
    <row r="34" spans="1:12" x14ac:dyDescent="0.3">
      <c r="A34" s="11">
        <v>45600</v>
      </c>
      <c r="B34" s="2">
        <v>540</v>
      </c>
    </row>
    <row r="35" spans="1:12" x14ac:dyDescent="0.3">
      <c r="A35" s="11">
        <v>45607</v>
      </c>
      <c r="B35" s="2">
        <v>-106</v>
      </c>
    </row>
    <row r="36" spans="1:12" x14ac:dyDescent="0.3">
      <c r="A36" s="11">
        <v>45614</v>
      </c>
      <c r="B36" s="2">
        <v>72</v>
      </c>
    </row>
    <row r="37" spans="1:12" x14ac:dyDescent="0.3">
      <c r="A37" s="11">
        <v>45621</v>
      </c>
      <c r="B37" s="2">
        <v>1332</v>
      </c>
    </row>
    <row r="38" spans="1:12" x14ac:dyDescent="0.3">
      <c r="A38" s="4" t="s">
        <v>71</v>
      </c>
      <c r="B38" s="2">
        <v>6962</v>
      </c>
    </row>
    <row r="39" spans="1:12" x14ac:dyDescent="0.3">
      <c r="A39" s="11">
        <v>45628</v>
      </c>
      <c r="B39" s="2">
        <v>1706</v>
      </c>
    </row>
    <row r="40" spans="1:12" x14ac:dyDescent="0.3">
      <c r="A40" s="11">
        <v>45635</v>
      </c>
      <c r="B40" s="2">
        <v>1373</v>
      </c>
    </row>
    <row r="41" spans="1:12" x14ac:dyDescent="0.3">
      <c r="A41" s="11">
        <v>45642</v>
      </c>
      <c r="B41" s="2">
        <v>1377</v>
      </c>
    </row>
    <row r="42" spans="1:12" ht="31.2" x14ac:dyDescent="0.6">
      <c r="A42" s="11">
        <v>45649</v>
      </c>
      <c r="B42" s="2">
        <v>730</v>
      </c>
      <c r="H42" s="12" t="s">
        <v>72</v>
      </c>
    </row>
    <row r="43" spans="1:12" x14ac:dyDescent="0.3">
      <c r="A43" s="11">
        <v>45656</v>
      </c>
      <c r="B43" s="2">
        <v>1776</v>
      </c>
    </row>
    <row r="44" spans="1:12" x14ac:dyDescent="0.3">
      <c r="A44" s="3" t="s">
        <v>36</v>
      </c>
      <c r="B44" s="2">
        <v>13191</v>
      </c>
    </row>
    <row r="45" spans="1:12" x14ac:dyDescent="0.3">
      <c r="A45" s="4" t="s">
        <v>73</v>
      </c>
      <c r="B45" s="2">
        <v>2243</v>
      </c>
    </row>
    <row r="46" spans="1:12" x14ac:dyDescent="0.3">
      <c r="A46" s="11">
        <v>45663</v>
      </c>
      <c r="B46" s="2">
        <v>620</v>
      </c>
    </row>
    <row r="47" spans="1:12" ht="15.6" x14ac:dyDescent="0.3">
      <c r="A47" s="11">
        <v>45670</v>
      </c>
      <c r="B47" s="2">
        <v>298</v>
      </c>
      <c r="I47" s="13" t="s">
        <v>74</v>
      </c>
      <c r="J47" s="13"/>
      <c r="K47" s="13"/>
      <c r="L47" s="13">
        <f>_xlfn.XLOOKUP(A54,A:A,B:B)</f>
        <v>1707</v>
      </c>
    </row>
    <row r="48" spans="1:12" ht="15.6" x14ac:dyDescent="0.3">
      <c r="A48" s="11">
        <v>45677</v>
      </c>
      <c r="B48" s="2">
        <v>427</v>
      </c>
      <c r="I48" s="13"/>
      <c r="J48" s="13"/>
      <c r="K48" s="13"/>
      <c r="L48" s="13"/>
    </row>
    <row r="49" spans="1:12" ht="15.6" x14ac:dyDescent="0.3">
      <c r="A49" s="11">
        <v>45684</v>
      </c>
      <c r="B49" s="2">
        <v>898</v>
      </c>
      <c r="I49" s="13"/>
      <c r="J49" s="13"/>
      <c r="K49" s="13"/>
      <c r="L49" s="13"/>
    </row>
    <row r="50" spans="1:12" ht="15.6" x14ac:dyDescent="0.3">
      <c r="A50" s="4" t="s">
        <v>75</v>
      </c>
      <c r="B50" s="2">
        <v>4957</v>
      </c>
      <c r="I50" s="13" t="s">
        <v>76</v>
      </c>
      <c r="J50" s="13"/>
      <c r="K50" s="13"/>
      <c r="L50" s="13">
        <f>_xlfn.XLOOKUP(A105,A56:A105,B56:B105)</f>
        <v>1119</v>
      </c>
    </row>
    <row r="51" spans="1:12" ht="15.6" x14ac:dyDescent="0.3">
      <c r="A51" s="11">
        <v>45691</v>
      </c>
      <c r="B51" s="2">
        <v>748</v>
      </c>
      <c r="I51" s="13"/>
      <c r="J51" s="13"/>
      <c r="K51" s="13"/>
      <c r="L51" s="13"/>
    </row>
    <row r="52" spans="1:12" ht="15.6" x14ac:dyDescent="0.3">
      <c r="A52" s="11">
        <v>45698</v>
      </c>
      <c r="B52" s="2">
        <v>912</v>
      </c>
      <c r="I52" s="13"/>
      <c r="J52" s="13"/>
      <c r="K52" s="13"/>
      <c r="L52" s="13"/>
    </row>
    <row r="53" spans="1:12" ht="15.6" x14ac:dyDescent="0.3">
      <c r="A53" s="11">
        <v>45705</v>
      </c>
      <c r="B53" s="2">
        <v>1590</v>
      </c>
      <c r="I53" s="13"/>
      <c r="J53" s="13"/>
      <c r="K53" s="13"/>
      <c r="L53" s="13"/>
    </row>
    <row r="54" spans="1:12" ht="15.6" x14ac:dyDescent="0.3">
      <c r="A54" s="11">
        <v>45712</v>
      </c>
      <c r="B54" s="2">
        <v>1707</v>
      </c>
      <c r="I54" s="13" t="s">
        <v>77</v>
      </c>
      <c r="J54" s="13"/>
      <c r="K54" s="13" t="s">
        <v>78</v>
      </c>
      <c r="L54" s="13">
        <f>_xlfn.XLOOKUP(A156,A107:A156,B107:B156)</f>
        <v>1680</v>
      </c>
    </row>
    <row r="55" spans="1:12" ht="15.6" x14ac:dyDescent="0.3">
      <c r="A55" s="4" t="s">
        <v>79</v>
      </c>
      <c r="B55" s="2">
        <v>2893</v>
      </c>
      <c r="I55" s="13"/>
      <c r="J55" s="13"/>
      <c r="K55" s="13"/>
      <c r="L55" s="13"/>
    </row>
    <row r="56" spans="1:12" ht="15.6" x14ac:dyDescent="0.3">
      <c r="A56" s="11">
        <v>45719</v>
      </c>
      <c r="B56" s="2">
        <v>-119</v>
      </c>
      <c r="I56" s="13"/>
      <c r="J56" s="13"/>
      <c r="K56" s="13"/>
      <c r="L56" s="13"/>
    </row>
    <row r="57" spans="1:12" ht="15.6" x14ac:dyDescent="0.3">
      <c r="A57" s="11">
        <v>45726</v>
      </c>
      <c r="B57" s="2">
        <v>908</v>
      </c>
      <c r="I57" s="13" t="s">
        <v>80</v>
      </c>
      <c r="J57" s="13"/>
      <c r="K57" s="13"/>
      <c r="L57" s="13">
        <f>_xlfn.XLOOKUP(A207,A158:A207,B158:B207)</f>
        <v>91</v>
      </c>
    </row>
    <row r="58" spans="1:12" x14ac:dyDescent="0.3">
      <c r="A58" s="11">
        <v>45733</v>
      </c>
      <c r="B58" s="2">
        <v>1116</v>
      </c>
    </row>
    <row r="59" spans="1:12" x14ac:dyDescent="0.3">
      <c r="A59" s="11">
        <v>45740</v>
      </c>
      <c r="B59" s="2">
        <v>474</v>
      </c>
    </row>
    <row r="60" spans="1:12" x14ac:dyDescent="0.3">
      <c r="A60" s="11">
        <v>45747</v>
      </c>
      <c r="B60" s="2">
        <v>514</v>
      </c>
    </row>
    <row r="61" spans="1:12" x14ac:dyDescent="0.3">
      <c r="A61" s="4" t="s">
        <v>81</v>
      </c>
      <c r="B61" s="2">
        <v>2352</v>
      </c>
    </row>
    <row r="62" spans="1:12" x14ac:dyDescent="0.3">
      <c r="A62" s="11">
        <v>45754</v>
      </c>
      <c r="B62" s="2">
        <v>1029</v>
      </c>
    </row>
    <row r="63" spans="1:12" x14ac:dyDescent="0.3">
      <c r="A63" s="11">
        <v>45761</v>
      </c>
      <c r="B63" s="2">
        <v>-175</v>
      </c>
    </row>
    <row r="64" spans="1:12" x14ac:dyDescent="0.3">
      <c r="A64" s="11">
        <v>45768</v>
      </c>
      <c r="B64" s="2">
        <v>1045</v>
      </c>
    </row>
    <row r="65" spans="1:2" x14ac:dyDescent="0.3">
      <c r="A65" s="11">
        <v>45775</v>
      </c>
      <c r="B65" s="2">
        <v>453</v>
      </c>
    </row>
    <row r="66" spans="1:2" x14ac:dyDescent="0.3">
      <c r="A66" s="4" t="s">
        <v>82</v>
      </c>
      <c r="B66" s="2">
        <v>746</v>
      </c>
    </row>
    <row r="67" spans="1:2" x14ac:dyDescent="0.3">
      <c r="A67" s="11">
        <v>45782</v>
      </c>
      <c r="B67" s="2">
        <v>339</v>
      </c>
    </row>
    <row r="68" spans="1:2" x14ac:dyDescent="0.3">
      <c r="A68" s="11">
        <v>45789</v>
      </c>
      <c r="B68" s="2">
        <v>407</v>
      </c>
    </row>
    <row r="69" spans="1:2" x14ac:dyDescent="0.3">
      <c r="A69" s="10" t="s">
        <v>3</v>
      </c>
      <c r="B69" s="2">
        <v>48004</v>
      </c>
    </row>
    <row r="70" spans="1:2" x14ac:dyDescent="0.3">
      <c r="A70" s="3" t="s">
        <v>4</v>
      </c>
      <c r="B70" s="2">
        <v>29835</v>
      </c>
    </row>
    <row r="71" spans="1:2" x14ac:dyDescent="0.3">
      <c r="A71" s="4" t="s">
        <v>65</v>
      </c>
      <c r="B71" s="2">
        <v>3086</v>
      </c>
    </row>
    <row r="72" spans="1:2" x14ac:dyDescent="0.3">
      <c r="A72" s="11">
        <v>45446</v>
      </c>
      <c r="B72" s="2">
        <v>1047</v>
      </c>
    </row>
    <row r="73" spans="1:2" x14ac:dyDescent="0.3">
      <c r="A73" s="11">
        <v>45453</v>
      </c>
      <c r="B73" s="2">
        <v>517</v>
      </c>
    </row>
    <row r="74" spans="1:2" x14ac:dyDescent="0.3">
      <c r="A74" s="11">
        <v>45460</v>
      </c>
      <c r="B74" s="2">
        <v>893</v>
      </c>
    </row>
    <row r="75" spans="1:2" x14ac:dyDescent="0.3">
      <c r="A75" s="11">
        <v>45467</v>
      </c>
      <c r="B75" s="2">
        <v>629</v>
      </c>
    </row>
    <row r="76" spans="1:2" x14ac:dyDescent="0.3">
      <c r="A76" s="4" t="s">
        <v>66</v>
      </c>
      <c r="B76" s="2">
        <v>3998</v>
      </c>
    </row>
    <row r="77" spans="1:2" x14ac:dyDescent="0.3">
      <c r="A77" s="11">
        <v>45474</v>
      </c>
      <c r="B77" s="2">
        <v>-219</v>
      </c>
    </row>
    <row r="78" spans="1:2" x14ac:dyDescent="0.3">
      <c r="A78" s="11">
        <v>45481</v>
      </c>
      <c r="B78" s="2">
        <v>1672</v>
      </c>
    </row>
    <row r="79" spans="1:2" x14ac:dyDescent="0.3">
      <c r="A79" s="11">
        <v>45488</v>
      </c>
      <c r="B79" s="2">
        <v>1845</v>
      </c>
    </row>
    <row r="80" spans="1:2" x14ac:dyDescent="0.3">
      <c r="A80" s="11">
        <v>45495</v>
      </c>
      <c r="B80" s="2">
        <v>159</v>
      </c>
    </row>
    <row r="81" spans="1:2" x14ac:dyDescent="0.3">
      <c r="A81" s="11">
        <v>45502</v>
      </c>
      <c r="B81" s="2">
        <v>541</v>
      </c>
    </row>
    <row r="82" spans="1:2" x14ac:dyDescent="0.3">
      <c r="A82" s="4" t="s">
        <v>67</v>
      </c>
      <c r="B82" s="2">
        <v>3362</v>
      </c>
    </row>
    <row r="83" spans="1:2" x14ac:dyDescent="0.3">
      <c r="A83" s="11">
        <v>45509</v>
      </c>
      <c r="B83" s="2">
        <v>352</v>
      </c>
    </row>
    <row r="84" spans="1:2" x14ac:dyDescent="0.3">
      <c r="A84" s="11">
        <v>45516</v>
      </c>
      <c r="B84" s="2">
        <v>1325</v>
      </c>
    </row>
    <row r="85" spans="1:2" x14ac:dyDescent="0.3">
      <c r="A85" s="11">
        <v>45523</v>
      </c>
      <c r="B85" s="2">
        <v>76</v>
      </c>
    </row>
    <row r="86" spans="1:2" x14ac:dyDescent="0.3">
      <c r="A86" s="11">
        <v>45530</v>
      </c>
      <c r="B86" s="2">
        <v>1609</v>
      </c>
    </row>
    <row r="87" spans="1:2" x14ac:dyDescent="0.3">
      <c r="A87" s="4" t="s">
        <v>68</v>
      </c>
      <c r="B87" s="2">
        <v>4887</v>
      </c>
    </row>
    <row r="88" spans="1:2" x14ac:dyDescent="0.3">
      <c r="A88" s="11">
        <v>45537</v>
      </c>
      <c r="B88" s="2">
        <v>1247</v>
      </c>
    </row>
    <row r="89" spans="1:2" x14ac:dyDescent="0.3">
      <c r="A89" s="11">
        <v>45544</v>
      </c>
      <c r="B89" s="2">
        <v>1572</v>
      </c>
    </row>
    <row r="90" spans="1:2" x14ac:dyDescent="0.3">
      <c r="A90" s="11">
        <v>45551</v>
      </c>
      <c r="B90" s="2">
        <v>377</v>
      </c>
    </row>
    <row r="91" spans="1:2" x14ac:dyDescent="0.3">
      <c r="A91" s="11">
        <v>45558</v>
      </c>
      <c r="B91" s="2">
        <v>666</v>
      </c>
    </row>
    <row r="92" spans="1:2" x14ac:dyDescent="0.3">
      <c r="A92" s="11">
        <v>45565</v>
      </c>
      <c r="B92" s="2">
        <v>1025</v>
      </c>
    </row>
    <row r="93" spans="1:2" x14ac:dyDescent="0.3">
      <c r="A93" s="4" t="s">
        <v>69</v>
      </c>
      <c r="B93" s="2">
        <v>3934</v>
      </c>
    </row>
    <row r="94" spans="1:2" x14ac:dyDescent="0.3">
      <c r="A94" s="11">
        <v>45572</v>
      </c>
      <c r="B94" s="2">
        <v>1872</v>
      </c>
    </row>
    <row r="95" spans="1:2" x14ac:dyDescent="0.3">
      <c r="A95" s="11">
        <v>45579</v>
      </c>
      <c r="B95" s="2">
        <v>1224</v>
      </c>
    </row>
    <row r="96" spans="1:2" x14ac:dyDescent="0.3">
      <c r="A96" s="11">
        <v>45586</v>
      </c>
      <c r="B96" s="2">
        <v>262</v>
      </c>
    </row>
    <row r="97" spans="1:2" x14ac:dyDescent="0.3">
      <c r="A97" s="11">
        <v>45593</v>
      </c>
      <c r="B97" s="2">
        <v>576</v>
      </c>
    </row>
    <row r="98" spans="1:2" x14ac:dyDescent="0.3">
      <c r="A98" s="4" t="s">
        <v>70</v>
      </c>
      <c r="B98" s="2">
        <v>3943</v>
      </c>
    </row>
    <row r="99" spans="1:2" x14ac:dyDescent="0.3">
      <c r="A99" s="11">
        <v>45600</v>
      </c>
      <c r="B99" s="2">
        <v>1397</v>
      </c>
    </row>
    <row r="100" spans="1:2" x14ac:dyDescent="0.3">
      <c r="A100" s="11">
        <v>45607</v>
      </c>
      <c r="B100" s="2">
        <v>902</v>
      </c>
    </row>
    <row r="101" spans="1:2" x14ac:dyDescent="0.3">
      <c r="A101" s="11">
        <v>45614</v>
      </c>
      <c r="B101" s="2">
        <v>-49</v>
      </c>
    </row>
    <row r="102" spans="1:2" x14ac:dyDescent="0.3">
      <c r="A102" s="11">
        <v>45621</v>
      </c>
      <c r="B102" s="2">
        <v>1693</v>
      </c>
    </row>
    <row r="103" spans="1:2" x14ac:dyDescent="0.3">
      <c r="A103" s="4" t="s">
        <v>71</v>
      </c>
      <c r="B103" s="2">
        <v>6625</v>
      </c>
    </row>
    <row r="104" spans="1:2" x14ac:dyDescent="0.3">
      <c r="A104" s="11">
        <v>45628</v>
      </c>
      <c r="B104" s="2">
        <v>1625</v>
      </c>
    </row>
    <row r="105" spans="1:2" x14ac:dyDescent="0.3">
      <c r="A105" s="11">
        <v>45635</v>
      </c>
      <c r="B105" s="2">
        <v>1119</v>
      </c>
    </row>
    <row r="106" spans="1:2" x14ac:dyDescent="0.3">
      <c r="A106" s="11">
        <v>45642</v>
      </c>
      <c r="B106" s="2">
        <v>1432</v>
      </c>
    </row>
    <row r="107" spans="1:2" x14ac:dyDescent="0.3">
      <c r="A107" s="11">
        <v>45649</v>
      </c>
      <c r="B107" s="2">
        <v>684</v>
      </c>
    </row>
    <row r="108" spans="1:2" x14ac:dyDescent="0.3">
      <c r="A108" s="11">
        <v>45656</v>
      </c>
      <c r="B108" s="2">
        <v>1765</v>
      </c>
    </row>
    <row r="109" spans="1:2" x14ac:dyDescent="0.3">
      <c r="A109" s="3" t="s">
        <v>36</v>
      </c>
      <c r="B109" s="2">
        <v>18169</v>
      </c>
    </row>
    <row r="110" spans="1:2" x14ac:dyDescent="0.3">
      <c r="A110" s="4" t="s">
        <v>73</v>
      </c>
      <c r="B110" s="2">
        <v>4031</v>
      </c>
    </row>
    <row r="111" spans="1:2" x14ac:dyDescent="0.3">
      <c r="A111" s="11">
        <v>45663</v>
      </c>
      <c r="B111" s="2">
        <v>903</v>
      </c>
    </row>
    <row r="112" spans="1:2" x14ac:dyDescent="0.3">
      <c r="A112" s="11">
        <v>45670</v>
      </c>
      <c r="B112" s="2">
        <v>1722</v>
      </c>
    </row>
    <row r="113" spans="1:2" x14ac:dyDescent="0.3">
      <c r="A113" s="11">
        <v>45677</v>
      </c>
      <c r="B113" s="2">
        <v>1572</v>
      </c>
    </row>
    <row r="114" spans="1:2" x14ac:dyDescent="0.3">
      <c r="A114" s="11">
        <v>45684</v>
      </c>
      <c r="B114" s="2">
        <v>-166</v>
      </c>
    </row>
    <row r="115" spans="1:2" x14ac:dyDescent="0.3">
      <c r="A115" s="4" t="s">
        <v>75</v>
      </c>
      <c r="B115" s="2">
        <v>5143</v>
      </c>
    </row>
    <row r="116" spans="1:2" x14ac:dyDescent="0.3">
      <c r="A116" s="11">
        <v>45691</v>
      </c>
      <c r="B116" s="2">
        <v>1080</v>
      </c>
    </row>
    <row r="117" spans="1:2" x14ac:dyDescent="0.3">
      <c r="A117" s="11">
        <v>45698</v>
      </c>
      <c r="B117" s="2">
        <v>1723</v>
      </c>
    </row>
    <row r="118" spans="1:2" x14ac:dyDescent="0.3">
      <c r="A118" s="11">
        <v>45705</v>
      </c>
      <c r="B118" s="2">
        <v>965</v>
      </c>
    </row>
    <row r="119" spans="1:2" x14ac:dyDescent="0.3">
      <c r="A119" s="11">
        <v>45712</v>
      </c>
      <c r="B119" s="2">
        <v>1375</v>
      </c>
    </row>
    <row r="120" spans="1:2" x14ac:dyDescent="0.3">
      <c r="A120" s="4" t="s">
        <v>79</v>
      </c>
      <c r="B120" s="2">
        <v>3309</v>
      </c>
    </row>
    <row r="121" spans="1:2" x14ac:dyDescent="0.3">
      <c r="A121" s="11">
        <v>45719</v>
      </c>
      <c r="B121" s="2">
        <v>1315</v>
      </c>
    </row>
    <row r="122" spans="1:2" x14ac:dyDescent="0.3">
      <c r="A122" s="11">
        <v>45726</v>
      </c>
      <c r="B122" s="2">
        <v>212</v>
      </c>
    </row>
    <row r="123" spans="1:2" x14ac:dyDescent="0.3">
      <c r="A123" s="11">
        <v>45733</v>
      </c>
      <c r="B123" s="2">
        <v>680</v>
      </c>
    </row>
    <row r="124" spans="1:2" x14ac:dyDescent="0.3">
      <c r="A124" s="11">
        <v>45740</v>
      </c>
      <c r="B124" s="2">
        <v>461</v>
      </c>
    </row>
    <row r="125" spans="1:2" x14ac:dyDescent="0.3">
      <c r="A125" s="11">
        <v>45747</v>
      </c>
      <c r="B125" s="2">
        <v>641</v>
      </c>
    </row>
    <row r="126" spans="1:2" x14ac:dyDescent="0.3">
      <c r="A126" s="4" t="s">
        <v>81</v>
      </c>
      <c r="B126" s="2">
        <v>2149</v>
      </c>
    </row>
    <row r="127" spans="1:2" x14ac:dyDescent="0.3">
      <c r="A127" s="11">
        <v>45754</v>
      </c>
      <c r="B127" s="2">
        <v>167</v>
      </c>
    </row>
    <row r="128" spans="1:2" x14ac:dyDescent="0.3">
      <c r="A128" s="11">
        <v>45761</v>
      </c>
      <c r="B128" s="2">
        <v>-160</v>
      </c>
    </row>
    <row r="129" spans="1:2" x14ac:dyDescent="0.3">
      <c r="A129" s="11">
        <v>45768</v>
      </c>
      <c r="B129" s="2">
        <v>603</v>
      </c>
    </row>
    <row r="130" spans="1:2" x14ac:dyDescent="0.3">
      <c r="A130" s="11">
        <v>45775</v>
      </c>
      <c r="B130" s="2">
        <v>1539</v>
      </c>
    </row>
    <row r="131" spans="1:2" x14ac:dyDescent="0.3">
      <c r="A131" s="4" t="s">
        <v>82</v>
      </c>
      <c r="B131" s="2">
        <v>3537</v>
      </c>
    </row>
    <row r="132" spans="1:2" x14ac:dyDescent="0.3">
      <c r="A132" s="11">
        <v>45782</v>
      </c>
      <c r="B132" s="2">
        <v>1881</v>
      </c>
    </row>
    <row r="133" spans="1:2" x14ac:dyDescent="0.3">
      <c r="A133" s="11">
        <v>45789</v>
      </c>
      <c r="B133" s="2">
        <v>1656</v>
      </c>
    </row>
    <row r="134" spans="1:2" x14ac:dyDescent="0.3">
      <c r="A134" s="10" t="s">
        <v>56</v>
      </c>
      <c r="B134" s="2">
        <v>41177</v>
      </c>
    </row>
    <row r="135" spans="1:2" x14ac:dyDescent="0.3">
      <c r="A135" s="3" t="s">
        <v>4</v>
      </c>
      <c r="B135" s="2">
        <v>25750</v>
      </c>
    </row>
    <row r="136" spans="1:2" x14ac:dyDescent="0.3">
      <c r="A136" s="4" t="s">
        <v>65</v>
      </c>
      <c r="B136" s="2">
        <v>2731</v>
      </c>
    </row>
    <row r="137" spans="1:2" x14ac:dyDescent="0.3">
      <c r="A137" s="11">
        <v>45446</v>
      </c>
      <c r="B137" s="2">
        <v>415</v>
      </c>
    </row>
    <row r="138" spans="1:2" x14ac:dyDescent="0.3">
      <c r="A138" s="11">
        <v>45453</v>
      </c>
      <c r="B138" s="2">
        <v>186</v>
      </c>
    </row>
    <row r="139" spans="1:2" x14ac:dyDescent="0.3">
      <c r="A139" s="11">
        <v>45460</v>
      </c>
      <c r="B139" s="2">
        <v>1295</v>
      </c>
    </row>
    <row r="140" spans="1:2" x14ac:dyDescent="0.3">
      <c r="A140" s="11">
        <v>45467</v>
      </c>
      <c r="B140" s="2">
        <v>835</v>
      </c>
    </row>
    <row r="141" spans="1:2" x14ac:dyDescent="0.3">
      <c r="A141" s="4" t="s">
        <v>66</v>
      </c>
      <c r="B141" s="2">
        <v>5144</v>
      </c>
    </row>
    <row r="142" spans="1:2" x14ac:dyDescent="0.3">
      <c r="A142" s="11">
        <v>45474</v>
      </c>
      <c r="B142" s="2">
        <v>1357</v>
      </c>
    </row>
    <row r="143" spans="1:2" x14ac:dyDescent="0.3">
      <c r="A143" s="11">
        <v>45481</v>
      </c>
      <c r="B143" s="2">
        <v>547</v>
      </c>
    </row>
    <row r="144" spans="1:2" x14ac:dyDescent="0.3">
      <c r="A144" s="11">
        <v>45488</v>
      </c>
      <c r="B144" s="2">
        <v>429</v>
      </c>
    </row>
    <row r="145" spans="1:2" x14ac:dyDescent="0.3">
      <c r="A145" s="11">
        <v>45495</v>
      </c>
      <c r="B145" s="2">
        <v>1316</v>
      </c>
    </row>
    <row r="146" spans="1:2" x14ac:dyDescent="0.3">
      <c r="A146" s="11">
        <v>45502</v>
      </c>
      <c r="B146" s="2">
        <v>1495</v>
      </c>
    </row>
    <row r="147" spans="1:2" x14ac:dyDescent="0.3">
      <c r="A147" s="4" t="s">
        <v>67</v>
      </c>
      <c r="B147" s="2">
        <v>3259</v>
      </c>
    </row>
    <row r="148" spans="1:2" x14ac:dyDescent="0.3">
      <c r="A148" s="11">
        <v>45509</v>
      </c>
      <c r="B148" s="2">
        <v>328</v>
      </c>
    </row>
    <row r="149" spans="1:2" x14ac:dyDescent="0.3">
      <c r="A149" s="11">
        <v>45516</v>
      </c>
      <c r="B149" s="2">
        <v>37</v>
      </c>
    </row>
    <row r="150" spans="1:2" x14ac:dyDescent="0.3">
      <c r="A150" s="11">
        <v>45523</v>
      </c>
      <c r="B150" s="2">
        <v>1665</v>
      </c>
    </row>
    <row r="151" spans="1:2" x14ac:dyDescent="0.3">
      <c r="A151" s="11">
        <v>45530</v>
      </c>
      <c r="B151" s="2">
        <v>1229</v>
      </c>
    </row>
    <row r="152" spans="1:2" x14ac:dyDescent="0.3">
      <c r="A152" s="4" t="s">
        <v>68</v>
      </c>
      <c r="B152" s="2">
        <v>3861</v>
      </c>
    </row>
    <row r="153" spans="1:2" x14ac:dyDescent="0.3">
      <c r="A153" s="11">
        <v>45537</v>
      </c>
      <c r="B153" s="2">
        <v>197</v>
      </c>
    </row>
    <row r="154" spans="1:2" x14ac:dyDescent="0.3">
      <c r="A154" s="11">
        <v>45544</v>
      </c>
      <c r="B154" s="2">
        <v>260</v>
      </c>
    </row>
    <row r="155" spans="1:2" x14ac:dyDescent="0.3">
      <c r="A155" s="11">
        <v>45551</v>
      </c>
      <c r="B155" s="2">
        <v>1125</v>
      </c>
    </row>
    <row r="156" spans="1:2" x14ac:dyDescent="0.3">
      <c r="A156" s="11">
        <v>45558</v>
      </c>
      <c r="B156" s="2">
        <v>1680</v>
      </c>
    </row>
    <row r="157" spans="1:2" x14ac:dyDescent="0.3">
      <c r="A157" s="11">
        <v>45565</v>
      </c>
      <c r="B157" s="2">
        <v>599</v>
      </c>
    </row>
    <row r="158" spans="1:2" x14ac:dyDescent="0.3">
      <c r="A158" s="4" t="s">
        <v>69</v>
      </c>
      <c r="B158" s="2">
        <v>760</v>
      </c>
    </row>
    <row r="159" spans="1:2" x14ac:dyDescent="0.3">
      <c r="A159" s="11">
        <v>45572</v>
      </c>
      <c r="B159" s="2">
        <v>107</v>
      </c>
    </row>
    <row r="160" spans="1:2" x14ac:dyDescent="0.3">
      <c r="A160" s="11">
        <v>45579</v>
      </c>
      <c r="B160" s="2">
        <v>-20</v>
      </c>
    </row>
    <row r="161" spans="1:2" x14ac:dyDescent="0.3">
      <c r="A161" s="11">
        <v>45586</v>
      </c>
      <c r="B161" s="2">
        <v>636</v>
      </c>
    </row>
    <row r="162" spans="1:2" x14ac:dyDescent="0.3">
      <c r="A162" s="11">
        <v>45593</v>
      </c>
      <c r="B162" s="2">
        <v>37</v>
      </c>
    </row>
    <row r="163" spans="1:2" x14ac:dyDescent="0.3">
      <c r="A163" s="4" t="s">
        <v>70</v>
      </c>
      <c r="B163" s="2">
        <v>3296</v>
      </c>
    </row>
    <row r="164" spans="1:2" x14ac:dyDescent="0.3">
      <c r="A164" s="11">
        <v>45600</v>
      </c>
      <c r="B164" s="2">
        <v>1603</v>
      </c>
    </row>
    <row r="165" spans="1:2" x14ac:dyDescent="0.3">
      <c r="A165" s="11">
        <v>45607</v>
      </c>
      <c r="B165" s="2">
        <v>1150</v>
      </c>
    </row>
    <row r="166" spans="1:2" x14ac:dyDescent="0.3">
      <c r="A166" s="11">
        <v>45614</v>
      </c>
      <c r="B166" s="2">
        <v>445</v>
      </c>
    </row>
    <row r="167" spans="1:2" x14ac:dyDescent="0.3">
      <c r="A167" s="11">
        <v>45621</v>
      </c>
      <c r="B167" s="2">
        <v>98</v>
      </c>
    </row>
    <row r="168" spans="1:2" x14ac:dyDescent="0.3">
      <c r="A168" s="4" t="s">
        <v>71</v>
      </c>
      <c r="B168" s="2">
        <v>6699</v>
      </c>
    </row>
    <row r="169" spans="1:2" x14ac:dyDescent="0.3">
      <c r="A169" s="11">
        <v>45628</v>
      </c>
      <c r="B169" s="2">
        <v>1173</v>
      </c>
    </row>
    <row r="170" spans="1:2" x14ac:dyDescent="0.3">
      <c r="A170" s="11">
        <v>45635</v>
      </c>
      <c r="B170" s="2">
        <v>1727</v>
      </c>
    </row>
    <row r="171" spans="1:2" x14ac:dyDescent="0.3">
      <c r="A171" s="11">
        <v>45642</v>
      </c>
      <c r="B171" s="2">
        <v>1359</v>
      </c>
    </row>
    <row r="172" spans="1:2" x14ac:dyDescent="0.3">
      <c r="A172" s="11">
        <v>45649</v>
      </c>
      <c r="B172" s="2">
        <v>911</v>
      </c>
    </row>
    <row r="173" spans="1:2" x14ac:dyDescent="0.3">
      <c r="A173" s="11">
        <v>45656</v>
      </c>
      <c r="B173" s="2">
        <v>1529</v>
      </c>
    </row>
    <row r="174" spans="1:2" x14ac:dyDescent="0.3">
      <c r="A174" s="3" t="s">
        <v>36</v>
      </c>
      <c r="B174" s="2">
        <v>15427</v>
      </c>
    </row>
    <row r="175" spans="1:2" x14ac:dyDescent="0.3">
      <c r="A175" s="4" t="s">
        <v>73</v>
      </c>
      <c r="B175" s="2">
        <v>3361</v>
      </c>
    </row>
    <row r="176" spans="1:2" x14ac:dyDescent="0.3">
      <c r="A176" s="11">
        <v>45663</v>
      </c>
      <c r="B176" s="2">
        <v>1188</v>
      </c>
    </row>
    <row r="177" spans="1:2" x14ac:dyDescent="0.3">
      <c r="A177" s="11">
        <v>45670</v>
      </c>
      <c r="B177" s="2">
        <v>-144</v>
      </c>
    </row>
    <row r="178" spans="1:2" x14ac:dyDescent="0.3">
      <c r="A178" s="11">
        <v>45677</v>
      </c>
      <c r="B178" s="2">
        <v>891</v>
      </c>
    </row>
    <row r="179" spans="1:2" x14ac:dyDescent="0.3">
      <c r="A179" s="11">
        <v>45684</v>
      </c>
      <c r="B179" s="2">
        <v>1426</v>
      </c>
    </row>
    <row r="180" spans="1:2" x14ac:dyDescent="0.3">
      <c r="A180" s="4" t="s">
        <v>75</v>
      </c>
      <c r="B180" s="2">
        <v>2442</v>
      </c>
    </row>
    <row r="181" spans="1:2" x14ac:dyDescent="0.3">
      <c r="A181" s="11">
        <v>45691</v>
      </c>
      <c r="B181" s="2">
        <v>569</v>
      </c>
    </row>
    <row r="182" spans="1:2" x14ac:dyDescent="0.3">
      <c r="A182" s="11">
        <v>45698</v>
      </c>
      <c r="B182" s="2">
        <v>1202</v>
      </c>
    </row>
    <row r="183" spans="1:2" x14ac:dyDescent="0.3">
      <c r="A183" s="11">
        <v>45705</v>
      </c>
      <c r="B183" s="2">
        <v>-37</v>
      </c>
    </row>
    <row r="184" spans="1:2" x14ac:dyDescent="0.3">
      <c r="A184" s="11">
        <v>45712</v>
      </c>
      <c r="B184" s="2">
        <v>708</v>
      </c>
    </row>
    <row r="185" spans="1:2" x14ac:dyDescent="0.3">
      <c r="A185" s="4" t="s">
        <v>79</v>
      </c>
      <c r="B185" s="2">
        <v>5078</v>
      </c>
    </row>
    <row r="186" spans="1:2" x14ac:dyDescent="0.3">
      <c r="A186" s="11">
        <v>45719</v>
      </c>
      <c r="B186" s="2">
        <v>899</v>
      </c>
    </row>
    <row r="187" spans="1:2" x14ac:dyDescent="0.3">
      <c r="A187" s="11">
        <v>45726</v>
      </c>
      <c r="B187" s="2">
        <v>1350</v>
      </c>
    </row>
    <row r="188" spans="1:2" x14ac:dyDescent="0.3">
      <c r="A188" s="11">
        <v>45733</v>
      </c>
      <c r="B188" s="2">
        <v>861</v>
      </c>
    </row>
    <row r="189" spans="1:2" x14ac:dyDescent="0.3">
      <c r="A189" s="11">
        <v>45740</v>
      </c>
      <c r="B189" s="2">
        <v>292</v>
      </c>
    </row>
    <row r="190" spans="1:2" x14ac:dyDescent="0.3">
      <c r="A190" s="11">
        <v>45747</v>
      </c>
      <c r="B190" s="2">
        <v>1676</v>
      </c>
    </row>
    <row r="191" spans="1:2" x14ac:dyDescent="0.3">
      <c r="A191" s="4" t="s">
        <v>81</v>
      </c>
      <c r="B191" s="2">
        <v>2767</v>
      </c>
    </row>
    <row r="192" spans="1:2" x14ac:dyDescent="0.3">
      <c r="A192" s="11">
        <v>45754</v>
      </c>
      <c r="B192" s="2">
        <v>1007</v>
      </c>
    </row>
    <row r="193" spans="1:2" x14ac:dyDescent="0.3">
      <c r="A193" s="11">
        <v>45761</v>
      </c>
      <c r="B193" s="2">
        <v>53</v>
      </c>
    </row>
    <row r="194" spans="1:2" x14ac:dyDescent="0.3">
      <c r="A194" s="11">
        <v>45768</v>
      </c>
      <c r="B194" s="2">
        <v>759</v>
      </c>
    </row>
    <row r="195" spans="1:2" x14ac:dyDescent="0.3">
      <c r="A195" s="11">
        <v>45775</v>
      </c>
      <c r="B195" s="2">
        <v>948</v>
      </c>
    </row>
    <row r="196" spans="1:2" x14ac:dyDescent="0.3">
      <c r="A196" s="4" t="s">
        <v>82</v>
      </c>
      <c r="B196" s="2">
        <v>1779</v>
      </c>
    </row>
    <row r="197" spans="1:2" x14ac:dyDescent="0.3">
      <c r="A197" s="11">
        <v>45782</v>
      </c>
      <c r="B197" s="2">
        <v>1510</v>
      </c>
    </row>
    <row r="198" spans="1:2" x14ac:dyDescent="0.3">
      <c r="A198" s="11">
        <v>45789</v>
      </c>
      <c r="B198" s="2">
        <v>269</v>
      </c>
    </row>
    <row r="199" spans="1:2" x14ac:dyDescent="0.3">
      <c r="A199" s="10" t="s">
        <v>58</v>
      </c>
      <c r="B199" s="2">
        <v>35367</v>
      </c>
    </row>
    <row r="200" spans="1:2" x14ac:dyDescent="0.3">
      <c r="A200" s="3" t="s">
        <v>4</v>
      </c>
      <c r="B200" s="2">
        <v>20290</v>
      </c>
    </row>
    <row r="201" spans="1:2" x14ac:dyDescent="0.3">
      <c r="A201" s="4" t="s">
        <v>65</v>
      </c>
      <c r="B201" s="2">
        <v>2298</v>
      </c>
    </row>
    <row r="202" spans="1:2" x14ac:dyDescent="0.3">
      <c r="A202" s="11">
        <v>45446</v>
      </c>
      <c r="B202" s="2">
        <v>1090</v>
      </c>
    </row>
    <row r="203" spans="1:2" x14ac:dyDescent="0.3">
      <c r="A203" s="11">
        <v>45453</v>
      </c>
      <c r="B203" s="2">
        <v>994</v>
      </c>
    </row>
    <row r="204" spans="1:2" x14ac:dyDescent="0.3">
      <c r="A204" s="11">
        <v>45460</v>
      </c>
      <c r="B204" s="2">
        <v>337</v>
      </c>
    </row>
    <row r="205" spans="1:2" x14ac:dyDescent="0.3">
      <c r="A205" s="11">
        <v>45467</v>
      </c>
      <c r="B205" s="2">
        <v>-123</v>
      </c>
    </row>
    <row r="206" spans="1:2" x14ac:dyDescent="0.3">
      <c r="A206" s="4" t="s">
        <v>66</v>
      </c>
      <c r="B206" s="2">
        <v>1557</v>
      </c>
    </row>
    <row r="207" spans="1:2" x14ac:dyDescent="0.3">
      <c r="A207" s="11">
        <v>45474</v>
      </c>
      <c r="B207" s="2">
        <v>91</v>
      </c>
    </row>
    <row r="208" spans="1:2" x14ac:dyDescent="0.3">
      <c r="A208" s="11">
        <v>45481</v>
      </c>
      <c r="B208" s="2">
        <v>514</v>
      </c>
    </row>
    <row r="209" spans="1:2" x14ac:dyDescent="0.3">
      <c r="A209" s="11">
        <v>45488</v>
      </c>
      <c r="B209" s="2">
        <v>160</v>
      </c>
    </row>
    <row r="210" spans="1:2" x14ac:dyDescent="0.3">
      <c r="A210" s="11">
        <v>45495</v>
      </c>
      <c r="B210" s="2">
        <v>317</v>
      </c>
    </row>
    <row r="211" spans="1:2" x14ac:dyDescent="0.3">
      <c r="A211" s="11">
        <v>45502</v>
      </c>
      <c r="B211" s="2">
        <v>475</v>
      </c>
    </row>
    <row r="212" spans="1:2" x14ac:dyDescent="0.3">
      <c r="A212" s="4" t="s">
        <v>67</v>
      </c>
      <c r="B212" s="2">
        <v>1569</v>
      </c>
    </row>
    <row r="213" spans="1:2" x14ac:dyDescent="0.3">
      <c r="A213" s="11">
        <v>45509</v>
      </c>
      <c r="B213" s="2">
        <v>319</v>
      </c>
    </row>
    <row r="214" spans="1:2" x14ac:dyDescent="0.3">
      <c r="A214" s="11">
        <v>45516</v>
      </c>
      <c r="B214" s="2">
        <v>1032</v>
      </c>
    </row>
    <row r="215" spans="1:2" x14ac:dyDescent="0.3">
      <c r="A215" s="11">
        <v>45523</v>
      </c>
      <c r="B215" s="2">
        <v>190</v>
      </c>
    </row>
    <row r="216" spans="1:2" x14ac:dyDescent="0.3">
      <c r="A216" s="11">
        <v>45530</v>
      </c>
      <c r="B216" s="2">
        <v>28</v>
      </c>
    </row>
    <row r="217" spans="1:2" x14ac:dyDescent="0.3">
      <c r="A217" s="4" t="s">
        <v>68</v>
      </c>
      <c r="B217" s="2">
        <v>4113</v>
      </c>
    </row>
    <row r="218" spans="1:2" x14ac:dyDescent="0.3">
      <c r="A218" s="11">
        <v>45537</v>
      </c>
      <c r="B218" s="2">
        <v>333</v>
      </c>
    </row>
    <row r="219" spans="1:2" x14ac:dyDescent="0.3">
      <c r="A219" s="11">
        <v>45544</v>
      </c>
      <c r="B219" s="2">
        <v>1100</v>
      </c>
    </row>
    <row r="220" spans="1:2" x14ac:dyDescent="0.3">
      <c r="A220" s="11">
        <v>45551</v>
      </c>
      <c r="B220" s="2">
        <v>-32</v>
      </c>
    </row>
    <row r="221" spans="1:2" x14ac:dyDescent="0.3">
      <c r="A221" s="11">
        <v>45558</v>
      </c>
      <c r="B221" s="2">
        <v>1006</v>
      </c>
    </row>
    <row r="222" spans="1:2" x14ac:dyDescent="0.3">
      <c r="A222" s="11">
        <v>45565</v>
      </c>
      <c r="B222" s="2">
        <v>1706</v>
      </c>
    </row>
    <row r="223" spans="1:2" x14ac:dyDescent="0.3">
      <c r="A223" s="4" t="s">
        <v>69</v>
      </c>
      <c r="B223" s="2">
        <v>3626</v>
      </c>
    </row>
    <row r="224" spans="1:2" x14ac:dyDescent="0.3">
      <c r="A224" s="11">
        <v>45572</v>
      </c>
      <c r="B224" s="2">
        <v>118</v>
      </c>
    </row>
    <row r="225" spans="1:2" x14ac:dyDescent="0.3">
      <c r="A225" s="11">
        <v>45579</v>
      </c>
      <c r="B225" s="2">
        <v>367</v>
      </c>
    </row>
    <row r="226" spans="1:2" x14ac:dyDescent="0.3">
      <c r="A226" s="11">
        <v>45586</v>
      </c>
      <c r="B226" s="2">
        <v>1484</v>
      </c>
    </row>
    <row r="227" spans="1:2" x14ac:dyDescent="0.3">
      <c r="A227" s="11">
        <v>45593</v>
      </c>
      <c r="B227" s="2">
        <v>1657</v>
      </c>
    </row>
    <row r="228" spans="1:2" x14ac:dyDescent="0.3">
      <c r="A228" s="4" t="s">
        <v>70</v>
      </c>
      <c r="B228" s="2">
        <v>2338</v>
      </c>
    </row>
    <row r="229" spans="1:2" x14ac:dyDescent="0.3">
      <c r="A229" s="11">
        <v>45600</v>
      </c>
      <c r="B229" s="2">
        <v>1044</v>
      </c>
    </row>
    <row r="230" spans="1:2" x14ac:dyDescent="0.3">
      <c r="A230" s="11">
        <v>45607</v>
      </c>
      <c r="B230" s="2">
        <v>349</v>
      </c>
    </row>
    <row r="231" spans="1:2" x14ac:dyDescent="0.3">
      <c r="A231" s="11">
        <v>45614</v>
      </c>
      <c r="B231" s="2">
        <v>60</v>
      </c>
    </row>
    <row r="232" spans="1:2" x14ac:dyDescent="0.3">
      <c r="A232" s="11">
        <v>45621</v>
      </c>
      <c r="B232" s="2">
        <v>885</v>
      </c>
    </row>
    <row r="233" spans="1:2" x14ac:dyDescent="0.3">
      <c r="A233" s="4" t="s">
        <v>71</v>
      </c>
      <c r="B233" s="2">
        <v>4789</v>
      </c>
    </row>
    <row r="234" spans="1:2" x14ac:dyDescent="0.3">
      <c r="A234" s="11">
        <v>45628</v>
      </c>
      <c r="B234" s="2">
        <v>291</v>
      </c>
    </row>
    <row r="235" spans="1:2" x14ac:dyDescent="0.3">
      <c r="A235" s="11">
        <v>45635</v>
      </c>
      <c r="B235" s="2">
        <v>573</v>
      </c>
    </row>
    <row r="236" spans="1:2" x14ac:dyDescent="0.3">
      <c r="A236" s="11">
        <v>45642</v>
      </c>
      <c r="B236" s="2">
        <v>876</v>
      </c>
    </row>
    <row r="237" spans="1:2" x14ac:dyDescent="0.3">
      <c r="A237" s="11">
        <v>45649</v>
      </c>
      <c r="B237" s="2">
        <v>1589</v>
      </c>
    </row>
    <row r="238" spans="1:2" x14ac:dyDescent="0.3">
      <c r="A238" s="11">
        <v>45656</v>
      </c>
      <c r="B238" s="2">
        <v>1460</v>
      </c>
    </row>
    <row r="239" spans="1:2" x14ac:dyDescent="0.3">
      <c r="A239" s="3" t="s">
        <v>36</v>
      </c>
      <c r="B239" s="2">
        <v>15077</v>
      </c>
    </row>
    <row r="240" spans="1:2" x14ac:dyDescent="0.3">
      <c r="A240" s="4" t="s">
        <v>73</v>
      </c>
      <c r="B240" s="2">
        <v>3696</v>
      </c>
    </row>
    <row r="241" spans="1:32" x14ac:dyDescent="0.3">
      <c r="A241" s="11">
        <v>45663</v>
      </c>
      <c r="B241" s="2">
        <v>846</v>
      </c>
    </row>
    <row r="242" spans="1:32" x14ac:dyDescent="0.3">
      <c r="A242" s="11">
        <v>45670</v>
      </c>
      <c r="B242" s="2">
        <v>901</v>
      </c>
    </row>
    <row r="243" spans="1:32" x14ac:dyDescent="0.3">
      <c r="A243" s="11">
        <v>45677</v>
      </c>
      <c r="B243" s="2">
        <v>724</v>
      </c>
    </row>
    <row r="244" spans="1:32" x14ac:dyDescent="0.3">
      <c r="A244" s="11">
        <v>45684</v>
      </c>
      <c r="B244" s="2">
        <v>1225</v>
      </c>
    </row>
    <row r="245" spans="1:32" x14ac:dyDescent="0.3">
      <c r="A245" s="4" t="s">
        <v>75</v>
      </c>
      <c r="B245" s="2">
        <v>3432</v>
      </c>
    </row>
    <row r="246" spans="1:32" x14ac:dyDescent="0.3">
      <c r="A246" s="11">
        <v>45691</v>
      </c>
      <c r="B246" s="2">
        <v>-203</v>
      </c>
    </row>
    <row r="247" spans="1:32" x14ac:dyDescent="0.3">
      <c r="A247" s="11">
        <v>45698</v>
      </c>
      <c r="B247" s="2">
        <v>1444</v>
      </c>
    </row>
    <row r="248" spans="1:32" x14ac:dyDescent="0.3">
      <c r="A248" s="11">
        <v>45705</v>
      </c>
      <c r="B248" s="2">
        <v>1175</v>
      </c>
    </row>
    <row r="249" spans="1:32" x14ac:dyDescent="0.3">
      <c r="A249" s="11">
        <v>45712</v>
      </c>
      <c r="B249" s="2">
        <v>1016</v>
      </c>
    </row>
    <row r="250" spans="1:32" x14ac:dyDescent="0.3">
      <c r="A250" s="4" t="s">
        <v>79</v>
      </c>
      <c r="B250" s="2">
        <v>4798</v>
      </c>
    </row>
    <row r="251" spans="1:32" ht="15.6" x14ac:dyDescent="0.3">
      <c r="A251" s="11">
        <v>45719</v>
      </c>
      <c r="B251" s="2">
        <v>315</v>
      </c>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row>
    <row r="252" spans="1:32" ht="15.6" x14ac:dyDescent="0.3">
      <c r="A252" s="11">
        <v>45726</v>
      </c>
      <c r="B252" s="2">
        <v>1242</v>
      </c>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row>
    <row r="253" spans="1:32" x14ac:dyDescent="0.3">
      <c r="A253" s="11">
        <v>45733</v>
      </c>
      <c r="B253" s="2">
        <v>1385</v>
      </c>
    </row>
    <row r="254" spans="1:32" x14ac:dyDescent="0.3">
      <c r="A254" s="11">
        <v>45740</v>
      </c>
      <c r="B254" s="2">
        <v>389</v>
      </c>
    </row>
    <row r="255" spans="1:32" x14ac:dyDescent="0.3">
      <c r="A255" s="11">
        <v>45747</v>
      </c>
      <c r="B255" s="2">
        <v>1467</v>
      </c>
    </row>
    <row r="256" spans="1:32" x14ac:dyDescent="0.3">
      <c r="A256" s="4" t="s">
        <v>81</v>
      </c>
      <c r="B256" s="2">
        <v>2624</v>
      </c>
    </row>
    <row r="257" spans="1:2" x14ac:dyDescent="0.3">
      <c r="A257" s="11">
        <v>45754</v>
      </c>
      <c r="B257" s="2">
        <v>209</v>
      </c>
    </row>
    <row r="258" spans="1:2" x14ac:dyDescent="0.3">
      <c r="A258" s="11">
        <v>45761</v>
      </c>
      <c r="B258" s="2">
        <v>145</v>
      </c>
    </row>
    <row r="259" spans="1:2" x14ac:dyDescent="0.3">
      <c r="A259" s="11">
        <v>45768</v>
      </c>
      <c r="B259" s="2">
        <v>1633</v>
      </c>
    </row>
    <row r="260" spans="1:2" x14ac:dyDescent="0.3">
      <c r="A260" s="11">
        <v>45775</v>
      </c>
      <c r="B260" s="2">
        <v>637</v>
      </c>
    </row>
    <row r="261" spans="1:2" x14ac:dyDescent="0.3">
      <c r="A261" s="4" t="s">
        <v>82</v>
      </c>
      <c r="B261" s="2">
        <v>527</v>
      </c>
    </row>
    <row r="262" spans="1:2" x14ac:dyDescent="0.3">
      <c r="A262" s="11">
        <v>45782</v>
      </c>
      <c r="B262" s="2">
        <v>864</v>
      </c>
    </row>
    <row r="263" spans="1:2" x14ac:dyDescent="0.3">
      <c r="A263" s="11">
        <v>45789</v>
      </c>
      <c r="B263" s="2">
        <v>-337</v>
      </c>
    </row>
    <row r="264" spans="1:2" x14ac:dyDescent="0.3">
      <c r="A264" s="10" t="s">
        <v>59</v>
      </c>
      <c r="B264" s="2">
        <v>160105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2EDB-457A-4213-8ED2-674B7EFF22C0}">
  <dimension ref="A3:D104"/>
  <sheetViews>
    <sheetView tabSelected="1" topLeftCell="G87" workbookViewId="0">
      <selection activeCell="D4" sqref="D4"/>
    </sheetView>
  </sheetViews>
  <sheetFormatPr defaultRowHeight="14.4" x14ac:dyDescent="0.3"/>
  <cols>
    <col min="1" max="1" width="11.44140625" bestFit="1" customWidth="1"/>
    <col min="2" max="2" width="20.77734375" bestFit="1" customWidth="1"/>
    <col min="3" max="3" width="19" bestFit="1" customWidth="1"/>
    <col min="4" max="4" width="27.77734375" bestFit="1" customWidth="1"/>
  </cols>
  <sheetData>
    <row r="3" spans="1:4" x14ac:dyDescent="0.3">
      <c r="A3" s="8" t="s">
        <v>0</v>
      </c>
      <c r="B3" t="s">
        <v>1</v>
      </c>
      <c r="C3" t="s">
        <v>2</v>
      </c>
      <c r="D3" t="s">
        <v>83</v>
      </c>
    </row>
    <row r="4" spans="1:4" x14ac:dyDescent="0.3">
      <c r="A4" s="1" t="s">
        <v>3</v>
      </c>
      <c r="B4" s="2">
        <v>14351986</v>
      </c>
      <c r="C4" s="2">
        <v>48004</v>
      </c>
      <c r="D4" s="2">
        <v>13786069.333333332</v>
      </c>
    </row>
    <row r="5" spans="1:4" x14ac:dyDescent="0.3">
      <c r="A5" s="3" t="s">
        <v>4</v>
      </c>
      <c r="B5" s="2">
        <v>8293595</v>
      </c>
      <c r="C5" s="2">
        <v>29835</v>
      </c>
      <c r="D5" s="2">
        <v>8400370.3333333321</v>
      </c>
    </row>
    <row r="6" spans="1:4" x14ac:dyDescent="0.3">
      <c r="A6" s="4" t="s">
        <v>65</v>
      </c>
      <c r="B6" s="2">
        <v>885851</v>
      </c>
      <c r="C6" s="2">
        <v>3086</v>
      </c>
      <c r="D6" s="2">
        <v>754395</v>
      </c>
    </row>
    <row r="7" spans="1:4" x14ac:dyDescent="0.3">
      <c r="A7" s="4" t="s">
        <v>66</v>
      </c>
      <c r="B7" s="2">
        <v>1129315</v>
      </c>
      <c r="C7" s="2">
        <v>3998</v>
      </c>
      <c r="D7" s="2">
        <v>1360896.6666666665</v>
      </c>
    </row>
    <row r="8" spans="1:4" x14ac:dyDescent="0.3">
      <c r="A8" s="4" t="s">
        <v>67</v>
      </c>
      <c r="B8" s="2">
        <v>1706399</v>
      </c>
      <c r="C8" s="2">
        <v>3362</v>
      </c>
      <c r="D8" s="2">
        <v>1320778.3333333333</v>
      </c>
    </row>
    <row r="9" spans="1:4" x14ac:dyDescent="0.3">
      <c r="A9" s="4" t="s">
        <v>68</v>
      </c>
      <c r="B9" s="2">
        <v>1323073</v>
      </c>
      <c r="C9" s="2">
        <v>4887</v>
      </c>
      <c r="D9" s="2">
        <v>1591173.3333333333</v>
      </c>
    </row>
    <row r="10" spans="1:4" x14ac:dyDescent="0.3">
      <c r="A10" s="4" t="s">
        <v>69</v>
      </c>
      <c r="B10" s="2">
        <v>1279349</v>
      </c>
      <c r="C10" s="2">
        <v>3934</v>
      </c>
      <c r="D10" s="2">
        <v>1111628.3333333333</v>
      </c>
    </row>
    <row r="11" spans="1:4" x14ac:dyDescent="0.3">
      <c r="A11" s="4" t="s">
        <v>70</v>
      </c>
      <c r="B11" s="2">
        <v>439883</v>
      </c>
      <c r="C11" s="2">
        <v>3943</v>
      </c>
      <c r="D11" s="2">
        <v>948807.66666666663</v>
      </c>
    </row>
    <row r="12" spans="1:4" x14ac:dyDescent="0.3">
      <c r="A12" s="4" t="s">
        <v>71</v>
      </c>
      <c r="B12" s="2">
        <v>1529725</v>
      </c>
      <c r="C12" s="2">
        <v>6625</v>
      </c>
      <c r="D12" s="2">
        <v>1312691</v>
      </c>
    </row>
    <row r="13" spans="1:4" x14ac:dyDescent="0.3">
      <c r="A13" s="3" t="s">
        <v>36</v>
      </c>
      <c r="B13" s="2">
        <v>6058391</v>
      </c>
      <c r="C13" s="2">
        <v>18169</v>
      </c>
      <c r="D13" s="2">
        <v>5385699</v>
      </c>
    </row>
    <row r="14" spans="1:4" x14ac:dyDescent="0.3">
      <c r="A14" s="4" t="s">
        <v>73</v>
      </c>
      <c r="B14" s="2">
        <v>1556741</v>
      </c>
      <c r="C14" s="2">
        <v>4031</v>
      </c>
      <c r="D14" s="2">
        <v>1307996.6666666667</v>
      </c>
    </row>
    <row r="15" spans="1:4" x14ac:dyDescent="0.3">
      <c r="A15" s="4" t="s">
        <v>75</v>
      </c>
      <c r="B15" s="2">
        <v>1153449</v>
      </c>
      <c r="C15" s="2">
        <v>5143</v>
      </c>
      <c r="D15" s="2">
        <v>900505.33333333326</v>
      </c>
    </row>
    <row r="16" spans="1:4" x14ac:dyDescent="0.3">
      <c r="A16" s="4" t="s">
        <v>79</v>
      </c>
      <c r="B16" s="2">
        <v>1777641</v>
      </c>
      <c r="C16" s="2">
        <v>3309</v>
      </c>
      <c r="D16" s="2">
        <v>1490700.6666666665</v>
      </c>
    </row>
    <row r="17" spans="1:4" x14ac:dyDescent="0.3">
      <c r="A17" s="4" t="s">
        <v>81</v>
      </c>
      <c r="B17" s="2">
        <v>654357</v>
      </c>
      <c r="C17" s="2">
        <v>2149</v>
      </c>
      <c r="D17" s="2">
        <v>806369.33333333337</v>
      </c>
    </row>
    <row r="18" spans="1:4" x14ac:dyDescent="0.3">
      <c r="A18" s="4" t="s">
        <v>82</v>
      </c>
      <c r="B18" s="2">
        <v>916203</v>
      </c>
      <c r="C18" s="2">
        <v>3537</v>
      </c>
      <c r="D18" s="2">
        <v>880127</v>
      </c>
    </row>
    <row r="19" spans="1:4" x14ac:dyDescent="0.3">
      <c r="A19" s="1" t="s">
        <v>58</v>
      </c>
      <c r="B19" s="2">
        <v>11527814</v>
      </c>
      <c r="C19" s="2">
        <v>35367</v>
      </c>
      <c r="D19" s="2">
        <v>13145933.000000002</v>
      </c>
    </row>
    <row r="20" spans="1:4" x14ac:dyDescent="0.3">
      <c r="A20" s="3" t="s">
        <v>4</v>
      </c>
      <c r="B20" s="2">
        <v>6901809</v>
      </c>
      <c r="C20" s="2">
        <v>20290</v>
      </c>
      <c r="D20" s="2">
        <v>7966432.666666667</v>
      </c>
    </row>
    <row r="21" spans="1:4" x14ac:dyDescent="0.3">
      <c r="A21" s="4" t="s">
        <v>65</v>
      </c>
      <c r="B21" s="2">
        <v>1618449</v>
      </c>
      <c r="C21" s="2">
        <v>2298</v>
      </c>
      <c r="D21" s="2">
        <v>1104009.6666666665</v>
      </c>
    </row>
    <row r="22" spans="1:4" x14ac:dyDescent="0.3">
      <c r="A22" s="4" t="s">
        <v>66</v>
      </c>
      <c r="B22" s="2">
        <v>873118</v>
      </c>
      <c r="C22" s="2">
        <v>1557</v>
      </c>
      <c r="D22" s="2">
        <v>1154124.6666666667</v>
      </c>
    </row>
    <row r="23" spans="1:4" x14ac:dyDescent="0.3">
      <c r="A23" s="4" t="s">
        <v>67</v>
      </c>
      <c r="B23" s="2">
        <v>749179</v>
      </c>
      <c r="C23" s="2">
        <v>1569</v>
      </c>
      <c r="D23" s="2">
        <v>1162280</v>
      </c>
    </row>
    <row r="24" spans="1:4" x14ac:dyDescent="0.3">
      <c r="A24" s="4" t="s">
        <v>68</v>
      </c>
      <c r="B24" s="2">
        <v>713025</v>
      </c>
      <c r="C24" s="2">
        <v>4113</v>
      </c>
      <c r="D24" s="2">
        <v>1325391.3333333333</v>
      </c>
    </row>
    <row r="25" spans="1:4" x14ac:dyDescent="0.3">
      <c r="A25" s="4" t="s">
        <v>69</v>
      </c>
      <c r="B25" s="2">
        <v>879682</v>
      </c>
      <c r="C25" s="2">
        <v>3626</v>
      </c>
      <c r="D25" s="2">
        <v>912349.00000000012</v>
      </c>
    </row>
    <row r="26" spans="1:4" x14ac:dyDescent="0.3">
      <c r="A26" s="4" t="s">
        <v>70</v>
      </c>
      <c r="B26" s="2">
        <v>744265</v>
      </c>
      <c r="C26" s="2">
        <v>2338</v>
      </c>
      <c r="D26" s="2">
        <v>1002143.3333333335</v>
      </c>
    </row>
    <row r="27" spans="1:4" x14ac:dyDescent="0.3">
      <c r="A27" s="4" t="s">
        <v>71</v>
      </c>
      <c r="B27" s="2">
        <v>1324091</v>
      </c>
      <c r="C27" s="2">
        <v>4789</v>
      </c>
      <c r="D27" s="2">
        <v>1306134.6666666667</v>
      </c>
    </row>
    <row r="28" spans="1:4" x14ac:dyDescent="0.3">
      <c r="A28" s="3" t="s">
        <v>36</v>
      </c>
      <c r="B28" s="2">
        <v>4626005</v>
      </c>
      <c r="C28" s="2">
        <v>15077</v>
      </c>
      <c r="D28" s="2">
        <v>5179500.333333333</v>
      </c>
    </row>
    <row r="29" spans="1:4" x14ac:dyDescent="0.3">
      <c r="A29" s="4" t="s">
        <v>73</v>
      </c>
      <c r="B29" s="2">
        <v>908465</v>
      </c>
      <c r="C29" s="2">
        <v>3696</v>
      </c>
      <c r="D29" s="2">
        <v>1170621</v>
      </c>
    </row>
    <row r="30" spans="1:4" x14ac:dyDescent="0.3">
      <c r="A30" s="4" t="s">
        <v>75</v>
      </c>
      <c r="B30" s="2">
        <v>1326265</v>
      </c>
      <c r="C30" s="2">
        <v>3432</v>
      </c>
      <c r="D30" s="2">
        <v>1132649</v>
      </c>
    </row>
    <row r="31" spans="1:4" x14ac:dyDescent="0.3">
      <c r="A31" s="4" t="s">
        <v>79</v>
      </c>
      <c r="B31" s="2">
        <v>1217968</v>
      </c>
      <c r="C31" s="2">
        <v>4798</v>
      </c>
      <c r="D31" s="2">
        <v>1447354</v>
      </c>
    </row>
    <row r="32" spans="1:4" x14ac:dyDescent="0.3">
      <c r="A32" s="4" t="s">
        <v>81</v>
      </c>
      <c r="B32" s="2">
        <v>942272</v>
      </c>
      <c r="C32" s="2">
        <v>2624</v>
      </c>
      <c r="D32" s="2">
        <v>1019119</v>
      </c>
    </row>
    <row r="33" spans="1:4" x14ac:dyDescent="0.3">
      <c r="A33" s="4" t="s">
        <v>82</v>
      </c>
      <c r="B33" s="2">
        <v>231035</v>
      </c>
      <c r="C33" s="2">
        <v>527</v>
      </c>
      <c r="D33" s="2">
        <v>409757.33333333331</v>
      </c>
    </row>
    <row r="34" spans="1:4" x14ac:dyDescent="0.3">
      <c r="A34" s="1" t="s">
        <v>56</v>
      </c>
      <c r="B34" s="2">
        <v>13226601</v>
      </c>
      <c r="C34" s="2">
        <v>41177</v>
      </c>
      <c r="D34" s="2">
        <v>13010581.666666666</v>
      </c>
    </row>
    <row r="35" spans="1:4" x14ac:dyDescent="0.3">
      <c r="A35" s="3" t="s">
        <v>4</v>
      </c>
      <c r="B35" s="2">
        <v>8378994</v>
      </c>
      <c r="C35" s="2">
        <v>25750</v>
      </c>
      <c r="D35" s="2">
        <v>7898898.666666666</v>
      </c>
    </row>
    <row r="36" spans="1:4" x14ac:dyDescent="0.3">
      <c r="A36" s="4" t="s">
        <v>65</v>
      </c>
      <c r="B36" s="2">
        <v>822334</v>
      </c>
      <c r="C36" s="2">
        <v>2731</v>
      </c>
      <c r="D36" s="2">
        <v>1133999</v>
      </c>
    </row>
    <row r="37" spans="1:4" x14ac:dyDescent="0.3">
      <c r="A37" s="4" t="s">
        <v>66</v>
      </c>
      <c r="B37" s="2">
        <v>1416969</v>
      </c>
      <c r="C37" s="2">
        <v>5144</v>
      </c>
      <c r="D37" s="2">
        <v>1145974.3333333333</v>
      </c>
    </row>
    <row r="38" spans="1:4" x14ac:dyDescent="0.3">
      <c r="A38" s="4" t="s">
        <v>67</v>
      </c>
      <c r="B38" s="2">
        <v>1259986</v>
      </c>
      <c r="C38" s="2">
        <v>3259</v>
      </c>
      <c r="D38" s="2">
        <v>1126309.3333333333</v>
      </c>
    </row>
    <row r="39" spans="1:4" x14ac:dyDescent="0.3">
      <c r="A39" s="4" t="s">
        <v>68</v>
      </c>
      <c r="B39" s="2">
        <v>1478603</v>
      </c>
      <c r="C39" s="2">
        <v>3861</v>
      </c>
      <c r="D39" s="2">
        <v>1200184</v>
      </c>
    </row>
    <row r="40" spans="1:4" x14ac:dyDescent="0.3">
      <c r="A40" s="4" t="s">
        <v>69</v>
      </c>
      <c r="B40" s="2">
        <v>1285095</v>
      </c>
      <c r="C40" s="2">
        <v>760</v>
      </c>
      <c r="D40" s="2">
        <v>1103959.3333333333</v>
      </c>
    </row>
    <row r="41" spans="1:4" x14ac:dyDescent="0.3">
      <c r="A41" s="4" t="s">
        <v>70</v>
      </c>
      <c r="B41" s="2">
        <v>1102363</v>
      </c>
      <c r="C41" s="2">
        <v>3296</v>
      </c>
      <c r="D41" s="2">
        <v>884511.00000000012</v>
      </c>
    </row>
    <row r="42" spans="1:4" x14ac:dyDescent="0.3">
      <c r="A42" s="4" t="s">
        <v>71</v>
      </c>
      <c r="B42" s="2">
        <v>1013644</v>
      </c>
      <c r="C42" s="2">
        <v>6699</v>
      </c>
      <c r="D42" s="2">
        <v>1303961.6666666665</v>
      </c>
    </row>
    <row r="43" spans="1:4" x14ac:dyDescent="0.3">
      <c r="A43" s="3" t="s">
        <v>36</v>
      </c>
      <c r="B43" s="2">
        <v>4847607</v>
      </c>
      <c r="C43" s="2">
        <v>15427</v>
      </c>
      <c r="D43" s="2">
        <v>5111683</v>
      </c>
    </row>
    <row r="44" spans="1:4" x14ac:dyDescent="0.3">
      <c r="A44" s="4" t="s">
        <v>73</v>
      </c>
      <c r="B44" s="2">
        <v>1246025</v>
      </c>
      <c r="C44" s="2">
        <v>3361</v>
      </c>
      <c r="D44" s="2">
        <v>1198801.6666666667</v>
      </c>
    </row>
    <row r="45" spans="1:4" x14ac:dyDescent="0.3">
      <c r="A45" s="4" t="s">
        <v>75</v>
      </c>
      <c r="B45" s="2">
        <v>766751</v>
      </c>
      <c r="C45" s="2">
        <v>2442</v>
      </c>
      <c r="D45" s="2">
        <v>1050829.3333333335</v>
      </c>
    </row>
    <row r="46" spans="1:4" x14ac:dyDescent="0.3">
      <c r="A46" s="4" t="s">
        <v>79</v>
      </c>
      <c r="B46" s="2">
        <v>900933</v>
      </c>
      <c r="C46" s="2">
        <v>5078</v>
      </c>
      <c r="D46" s="2">
        <v>1239250.6666666667</v>
      </c>
    </row>
    <row r="47" spans="1:4" x14ac:dyDescent="0.3">
      <c r="A47" s="4" t="s">
        <v>81</v>
      </c>
      <c r="B47" s="2">
        <v>993236</v>
      </c>
      <c r="C47" s="2">
        <v>2767</v>
      </c>
      <c r="D47" s="2">
        <v>986326</v>
      </c>
    </row>
    <row r="48" spans="1:4" x14ac:dyDescent="0.3">
      <c r="A48" s="4" t="s">
        <v>82</v>
      </c>
      <c r="B48" s="2">
        <v>940662</v>
      </c>
      <c r="C48" s="2">
        <v>1779</v>
      </c>
      <c r="D48" s="2">
        <v>636475.33333333326</v>
      </c>
    </row>
    <row r="49" spans="1:4" x14ac:dyDescent="0.3">
      <c r="A49" s="1" t="s">
        <v>57</v>
      </c>
      <c r="B49" s="2">
        <v>13779621</v>
      </c>
      <c r="C49" s="2">
        <v>35557</v>
      </c>
      <c r="D49" s="2">
        <v>12844678.666666664</v>
      </c>
    </row>
    <row r="50" spans="1:4" x14ac:dyDescent="0.3">
      <c r="A50" s="3" t="s">
        <v>4</v>
      </c>
      <c r="B50" s="2">
        <v>8528522</v>
      </c>
      <c r="C50" s="2">
        <v>22366</v>
      </c>
      <c r="D50" s="2">
        <v>7936441.666666666</v>
      </c>
    </row>
    <row r="51" spans="1:4" x14ac:dyDescent="0.3">
      <c r="A51" s="4" t="s">
        <v>65</v>
      </c>
      <c r="B51" s="2">
        <v>555000</v>
      </c>
      <c r="C51" s="2">
        <v>5337</v>
      </c>
      <c r="D51" s="2">
        <v>998594.33333333337</v>
      </c>
    </row>
    <row r="52" spans="1:4" x14ac:dyDescent="0.3">
      <c r="A52" s="4" t="s">
        <v>66</v>
      </c>
      <c r="B52" s="2">
        <v>1536406</v>
      </c>
      <c r="C52" s="2">
        <v>852</v>
      </c>
      <c r="D52" s="2">
        <v>1275497.6666666665</v>
      </c>
    </row>
    <row r="53" spans="1:4" x14ac:dyDescent="0.3">
      <c r="A53" s="4" t="s">
        <v>67</v>
      </c>
      <c r="B53" s="2">
        <v>995950</v>
      </c>
      <c r="C53" s="2">
        <v>2232</v>
      </c>
      <c r="D53" s="2">
        <v>1001705</v>
      </c>
    </row>
    <row r="54" spans="1:4" x14ac:dyDescent="0.3">
      <c r="A54" s="4" t="s">
        <v>68</v>
      </c>
      <c r="B54" s="2">
        <v>1971844</v>
      </c>
      <c r="C54" s="2">
        <v>2373</v>
      </c>
      <c r="D54" s="2">
        <v>1387824</v>
      </c>
    </row>
    <row r="55" spans="1:4" x14ac:dyDescent="0.3">
      <c r="A55" s="4" t="s">
        <v>69</v>
      </c>
      <c r="B55" s="2">
        <v>770441</v>
      </c>
      <c r="C55" s="2">
        <v>2772</v>
      </c>
      <c r="D55" s="2">
        <v>978406.00000000012</v>
      </c>
    </row>
    <row r="56" spans="1:4" x14ac:dyDescent="0.3">
      <c r="A56" s="4" t="s">
        <v>70</v>
      </c>
      <c r="B56" s="2">
        <v>1304177</v>
      </c>
      <c r="C56" s="2">
        <v>1838</v>
      </c>
      <c r="D56" s="2">
        <v>1050268.3333333333</v>
      </c>
    </row>
    <row r="57" spans="1:4" x14ac:dyDescent="0.3">
      <c r="A57" s="4" t="s">
        <v>71</v>
      </c>
      <c r="B57" s="2">
        <v>1394704</v>
      </c>
      <c r="C57" s="2">
        <v>6962</v>
      </c>
      <c r="D57" s="2">
        <v>1244146.3333333333</v>
      </c>
    </row>
    <row r="58" spans="1:4" x14ac:dyDescent="0.3">
      <c r="A58" s="3" t="s">
        <v>36</v>
      </c>
      <c r="B58" s="2">
        <v>5251099</v>
      </c>
      <c r="C58" s="2">
        <v>13191</v>
      </c>
      <c r="D58" s="2">
        <v>4908237.0000000009</v>
      </c>
    </row>
    <row r="59" spans="1:4" x14ac:dyDescent="0.3">
      <c r="A59" s="4" t="s">
        <v>73</v>
      </c>
      <c r="B59" s="2">
        <v>1121224</v>
      </c>
      <c r="C59" s="2">
        <v>2243</v>
      </c>
      <c r="D59" s="2">
        <v>1091904.6666666667</v>
      </c>
    </row>
    <row r="60" spans="1:4" x14ac:dyDescent="0.3">
      <c r="A60" s="4" t="s">
        <v>75</v>
      </c>
      <c r="B60" s="2">
        <v>781316</v>
      </c>
      <c r="C60" s="2">
        <v>4957</v>
      </c>
      <c r="D60" s="2">
        <v>958110.66666666674</v>
      </c>
    </row>
    <row r="61" spans="1:4" x14ac:dyDescent="0.3">
      <c r="A61" s="4" t="s">
        <v>79</v>
      </c>
      <c r="B61" s="2">
        <v>1793528</v>
      </c>
      <c r="C61" s="2">
        <v>2893</v>
      </c>
      <c r="D61" s="2">
        <v>1304143</v>
      </c>
    </row>
    <row r="62" spans="1:4" x14ac:dyDescent="0.3">
      <c r="A62" s="4" t="s">
        <v>81</v>
      </c>
      <c r="B62" s="2">
        <v>771515</v>
      </c>
      <c r="C62" s="2">
        <v>2352</v>
      </c>
      <c r="D62" s="2">
        <v>902341</v>
      </c>
    </row>
    <row r="63" spans="1:4" x14ac:dyDescent="0.3">
      <c r="A63" s="4" t="s">
        <v>82</v>
      </c>
      <c r="B63" s="2">
        <v>783516</v>
      </c>
      <c r="C63" s="2">
        <v>746</v>
      </c>
      <c r="D63" s="2">
        <v>651737.66666666663</v>
      </c>
    </row>
    <row r="64" spans="1:4" x14ac:dyDescent="0.3">
      <c r="A64" s="1" t="s">
        <v>59</v>
      </c>
      <c r="B64" s="2">
        <v>52886022</v>
      </c>
      <c r="C64" s="2">
        <v>160105</v>
      </c>
      <c r="D64" s="2">
        <v>52787262.666666657</v>
      </c>
    </row>
    <row r="104" spans="1:1" x14ac:dyDescent="0.3">
      <c r="A104" s="16" t="s">
        <v>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AD638-65B5-4139-8CE0-8225B2C371A0}">
  <dimension ref="A1:L266"/>
  <sheetViews>
    <sheetView workbookViewId="0">
      <selection activeCell="D24" sqref="D24"/>
    </sheetView>
  </sheetViews>
  <sheetFormatPr defaultColWidth="18.5546875" defaultRowHeight="14.4" x14ac:dyDescent="0.3"/>
  <sheetData>
    <row r="1" spans="1:4" x14ac:dyDescent="0.3">
      <c r="A1" s="17" t="s">
        <v>0</v>
      </c>
      <c r="B1" s="17" t="s">
        <v>85</v>
      </c>
      <c r="C1" s="17" t="s">
        <v>85</v>
      </c>
      <c r="D1" s="17" t="s">
        <v>86</v>
      </c>
    </row>
    <row r="2" spans="1:4" x14ac:dyDescent="0.3">
      <c r="A2" s="18" t="s">
        <v>4</v>
      </c>
      <c r="B2" s="19">
        <v>3034839</v>
      </c>
      <c r="C2" s="19">
        <v>98241</v>
      </c>
      <c r="D2" s="19">
        <v>704.57000000000016</v>
      </c>
    </row>
    <row r="3" spans="1:4" x14ac:dyDescent="0.3">
      <c r="A3" s="20" t="s">
        <v>65</v>
      </c>
      <c r="B3" s="21">
        <v>307396</v>
      </c>
      <c r="C3" s="21">
        <v>13452</v>
      </c>
      <c r="D3" s="21">
        <v>88.460000000000008</v>
      </c>
    </row>
    <row r="4" spans="1:4" x14ac:dyDescent="0.3">
      <c r="A4" s="22">
        <v>45446</v>
      </c>
      <c r="B4" s="2">
        <v>72893</v>
      </c>
      <c r="C4" s="2">
        <v>3554</v>
      </c>
      <c r="D4" s="2">
        <v>25.46</v>
      </c>
    </row>
    <row r="5" spans="1:4" x14ac:dyDescent="0.3">
      <c r="A5" s="23" t="s">
        <v>57</v>
      </c>
      <c r="B5" s="2">
        <v>9566</v>
      </c>
      <c r="C5" s="2">
        <v>1002</v>
      </c>
      <c r="D5" s="2">
        <v>4.9800000000000004</v>
      </c>
    </row>
    <row r="6" spans="1:4" x14ac:dyDescent="0.3">
      <c r="A6" s="23" t="s">
        <v>3</v>
      </c>
      <c r="B6" s="2">
        <v>5904</v>
      </c>
      <c r="C6" s="2">
        <v>1047</v>
      </c>
      <c r="D6" s="2">
        <v>8.06</v>
      </c>
    </row>
    <row r="7" spans="1:4" x14ac:dyDescent="0.3">
      <c r="A7" s="23" t="s">
        <v>56</v>
      </c>
      <c r="B7" s="2">
        <v>26752</v>
      </c>
      <c r="C7" s="2">
        <v>415</v>
      </c>
      <c r="D7" s="2">
        <v>8.31</v>
      </c>
    </row>
    <row r="8" spans="1:4" x14ac:dyDescent="0.3">
      <c r="A8" s="23" t="s">
        <v>58</v>
      </c>
      <c r="B8" s="2">
        <v>30671</v>
      </c>
      <c r="C8" s="2">
        <v>1090</v>
      </c>
      <c r="D8" s="2">
        <v>4.1100000000000003</v>
      </c>
    </row>
    <row r="9" spans="1:4" x14ac:dyDescent="0.3">
      <c r="A9" s="22">
        <v>45453</v>
      </c>
      <c r="B9" s="2">
        <v>47961</v>
      </c>
      <c r="C9" s="2">
        <v>2980</v>
      </c>
      <c r="D9" s="2">
        <v>18.590000000000003</v>
      </c>
    </row>
    <row r="10" spans="1:4" x14ac:dyDescent="0.3">
      <c r="A10" s="23" t="s">
        <v>57</v>
      </c>
      <c r="B10" s="2">
        <v>7924</v>
      </c>
      <c r="C10" s="2">
        <v>1283</v>
      </c>
      <c r="D10" s="2">
        <v>2.37</v>
      </c>
    </row>
    <row r="11" spans="1:4" x14ac:dyDescent="0.3">
      <c r="A11" s="23" t="s">
        <v>3</v>
      </c>
      <c r="B11" s="2">
        <v>9920</v>
      </c>
      <c r="C11" s="2">
        <v>517</v>
      </c>
      <c r="D11" s="2">
        <v>9.0500000000000007</v>
      </c>
    </row>
    <row r="12" spans="1:4" x14ac:dyDescent="0.3">
      <c r="A12" s="23" t="s">
        <v>56</v>
      </c>
      <c r="B12" s="2">
        <v>8912</v>
      </c>
      <c r="C12" s="2">
        <v>186</v>
      </c>
      <c r="D12" s="2">
        <v>4.01</v>
      </c>
    </row>
    <row r="13" spans="1:4" x14ac:dyDescent="0.3">
      <c r="A13" s="23" t="s">
        <v>58</v>
      </c>
      <c r="B13" s="2">
        <v>21205</v>
      </c>
      <c r="C13" s="2">
        <v>994</v>
      </c>
      <c r="D13" s="2">
        <v>3.16</v>
      </c>
    </row>
    <row r="14" spans="1:4" x14ac:dyDescent="0.3">
      <c r="A14" s="22">
        <v>45460</v>
      </c>
      <c r="B14" s="2">
        <v>104794</v>
      </c>
      <c r="C14" s="2">
        <v>3907</v>
      </c>
      <c r="D14" s="2">
        <v>22.25</v>
      </c>
    </row>
    <row r="15" spans="1:4" x14ac:dyDescent="0.3">
      <c r="A15" s="23" t="s">
        <v>57</v>
      </c>
      <c r="B15" s="2">
        <v>46670</v>
      </c>
      <c r="C15" s="2">
        <v>1382</v>
      </c>
      <c r="D15" s="2">
        <v>8.11</v>
      </c>
    </row>
    <row r="16" spans="1:4" x14ac:dyDescent="0.3">
      <c r="A16" s="23" t="s">
        <v>3</v>
      </c>
      <c r="B16" s="2">
        <v>11329</v>
      </c>
      <c r="C16" s="2">
        <v>893</v>
      </c>
      <c r="D16" s="2">
        <v>2.46</v>
      </c>
    </row>
    <row r="17" spans="1:12" x14ac:dyDescent="0.3">
      <c r="A17" s="23" t="s">
        <v>56</v>
      </c>
      <c r="B17" s="2">
        <v>22482</v>
      </c>
      <c r="C17" s="2">
        <v>1295</v>
      </c>
      <c r="D17" s="2">
        <v>8.19</v>
      </c>
    </row>
    <row r="18" spans="1:12" x14ac:dyDescent="0.3">
      <c r="A18" s="23" t="s">
        <v>58</v>
      </c>
      <c r="B18" s="2">
        <v>24313</v>
      </c>
      <c r="C18" s="2">
        <v>337</v>
      </c>
      <c r="D18" s="2">
        <v>3.49</v>
      </c>
    </row>
    <row r="19" spans="1:12" x14ac:dyDescent="0.3">
      <c r="A19" s="22">
        <v>45467</v>
      </c>
      <c r="B19" s="2">
        <v>81748</v>
      </c>
      <c r="C19" s="2">
        <v>3011</v>
      </c>
      <c r="D19" s="2">
        <v>22.16</v>
      </c>
    </row>
    <row r="20" spans="1:12" x14ac:dyDescent="0.3">
      <c r="A20" s="23" t="s">
        <v>57</v>
      </c>
      <c r="B20" s="2">
        <v>30635</v>
      </c>
      <c r="C20" s="2">
        <v>1670</v>
      </c>
      <c r="D20" s="2">
        <v>9.1199999999999992</v>
      </c>
    </row>
    <row r="21" spans="1:12" x14ac:dyDescent="0.3">
      <c r="A21" s="23" t="s">
        <v>3</v>
      </c>
      <c r="B21" s="2">
        <v>18050</v>
      </c>
      <c r="C21" s="2">
        <v>629</v>
      </c>
      <c r="D21" s="2">
        <v>6.92</v>
      </c>
    </row>
    <row r="22" spans="1:12" x14ac:dyDescent="0.3">
      <c r="A22" s="23" t="s">
        <v>56</v>
      </c>
      <c r="B22" s="2">
        <v>31280</v>
      </c>
      <c r="C22" s="2">
        <v>835</v>
      </c>
      <c r="D22" s="2">
        <v>3.5</v>
      </c>
    </row>
    <row r="23" spans="1:12" x14ac:dyDescent="0.3">
      <c r="A23" s="23" t="s">
        <v>58</v>
      </c>
      <c r="B23" s="2">
        <v>1783</v>
      </c>
      <c r="C23" s="2">
        <v>-123</v>
      </c>
      <c r="D23" s="2">
        <v>2.62</v>
      </c>
    </row>
    <row r="24" spans="1:12" x14ac:dyDescent="0.3">
      <c r="A24" s="20" t="s">
        <v>66</v>
      </c>
      <c r="B24" s="21">
        <v>461093</v>
      </c>
      <c r="C24" s="21">
        <v>11551</v>
      </c>
      <c r="D24" s="21">
        <v>116.46000000000001</v>
      </c>
    </row>
    <row r="25" spans="1:12" x14ac:dyDescent="0.3">
      <c r="A25" s="22">
        <v>45474</v>
      </c>
      <c r="B25" s="2">
        <v>87847</v>
      </c>
      <c r="C25" s="2">
        <v>1293</v>
      </c>
      <c r="D25" s="2">
        <v>28.75</v>
      </c>
    </row>
    <row r="26" spans="1:12" x14ac:dyDescent="0.3">
      <c r="A26" s="23" t="s">
        <v>57</v>
      </c>
      <c r="B26" s="2">
        <v>42307</v>
      </c>
      <c r="C26" s="2">
        <v>64</v>
      </c>
      <c r="D26" s="2">
        <v>4.4800000000000004</v>
      </c>
    </row>
    <row r="27" spans="1:12" ht="16.2" x14ac:dyDescent="0.3">
      <c r="A27" s="23" t="s">
        <v>3</v>
      </c>
      <c r="B27" s="2">
        <v>9566</v>
      </c>
      <c r="C27" s="2">
        <v>-219</v>
      </c>
      <c r="D27" s="2">
        <v>9.36</v>
      </c>
      <c r="E27" s="24" t="s">
        <v>87</v>
      </c>
      <c r="F27" s="24"/>
      <c r="G27" s="24"/>
      <c r="H27" s="24"/>
      <c r="I27" s="24"/>
      <c r="J27" s="24"/>
      <c r="K27" s="24"/>
      <c r="L27" s="24"/>
    </row>
    <row r="28" spans="1:12" ht="16.2" x14ac:dyDescent="0.3">
      <c r="A28" s="23" t="s">
        <v>56</v>
      </c>
      <c r="B28" s="2">
        <v>5914</v>
      </c>
      <c r="C28" s="2">
        <v>1357</v>
      </c>
      <c r="D28" s="2">
        <v>6.19</v>
      </c>
      <c r="E28" s="24"/>
      <c r="F28" s="24"/>
      <c r="G28" s="24"/>
      <c r="H28" s="24"/>
      <c r="I28" s="24"/>
      <c r="J28" s="24"/>
      <c r="K28" s="24"/>
      <c r="L28" s="24"/>
    </row>
    <row r="29" spans="1:12" ht="16.2" x14ac:dyDescent="0.3">
      <c r="A29" s="23" t="s">
        <v>58</v>
      </c>
      <c r="B29" s="2">
        <v>30060</v>
      </c>
      <c r="C29" s="2">
        <v>91</v>
      </c>
      <c r="D29" s="2">
        <v>8.7200000000000006</v>
      </c>
      <c r="E29" s="24" t="s">
        <v>88</v>
      </c>
      <c r="F29" s="24"/>
      <c r="G29" s="24"/>
      <c r="H29" s="24"/>
      <c r="I29" s="24"/>
      <c r="J29" s="24"/>
      <c r="K29" s="24"/>
      <c r="L29" s="24"/>
    </row>
    <row r="30" spans="1:12" x14ac:dyDescent="0.3">
      <c r="A30" s="22">
        <v>45481</v>
      </c>
      <c r="B30" s="2">
        <v>79341</v>
      </c>
      <c r="C30" s="2">
        <v>3042</v>
      </c>
      <c r="D30" s="2">
        <v>18.190000000000001</v>
      </c>
    </row>
    <row r="31" spans="1:12" x14ac:dyDescent="0.3">
      <c r="A31" s="23" t="s">
        <v>57</v>
      </c>
      <c r="B31" s="2">
        <v>38610</v>
      </c>
      <c r="C31" s="2">
        <v>309</v>
      </c>
      <c r="D31" s="2">
        <v>1.91</v>
      </c>
    </row>
    <row r="32" spans="1:12" x14ac:dyDescent="0.3">
      <c r="A32" s="23" t="s">
        <v>3</v>
      </c>
      <c r="B32" s="2">
        <v>22728</v>
      </c>
      <c r="C32" s="2">
        <v>1672</v>
      </c>
      <c r="D32" s="2">
        <v>8.74</v>
      </c>
    </row>
    <row r="33" spans="1:4" x14ac:dyDescent="0.3">
      <c r="A33" s="23" t="s">
        <v>56</v>
      </c>
      <c r="B33" s="2">
        <v>2932</v>
      </c>
      <c r="C33" s="2">
        <v>547</v>
      </c>
      <c r="D33" s="2">
        <v>4.66</v>
      </c>
    </row>
    <row r="34" spans="1:4" x14ac:dyDescent="0.3">
      <c r="A34" s="23" t="s">
        <v>58</v>
      </c>
      <c r="B34" s="2">
        <v>15071</v>
      </c>
      <c r="C34" s="2">
        <v>514</v>
      </c>
      <c r="D34" s="2">
        <v>2.88</v>
      </c>
    </row>
    <row r="35" spans="1:4" x14ac:dyDescent="0.3">
      <c r="A35" s="22">
        <v>45488</v>
      </c>
      <c r="B35" s="2">
        <v>115027</v>
      </c>
      <c r="C35" s="2">
        <v>2270</v>
      </c>
      <c r="D35" s="2">
        <v>23.3</v>
      </c>
    </row>
    <row r="36" spans="1:4" x14ac:dyDescent="0.3">
      <c r="A36" s="23" t="s">
        <v>57</v>
      </c>
      <c r="B36" s="2">
        <v>43420</v>
      </c>
      <c r="C36" s="2">
        <v>-164</v>
      </c>
      <c r="D36" s="2">
        <v>6.44</v>
      </c>
    </row>
    <row r="37" spans="1:4" x14ac:dyDescent="0.3">
      <c r="A37" s="23" t="s">
        <v>3</v>
      </c>
      <c r="B37" s="2">
        <v>10740</v>
      </c>
      <c r="C37" s="2">
        <v>1845</v>
      </c>
      <c r="D37" s="2">
        <v>3.74</v>
      </c>
    </row>
    <row r="38" spans="1:4" x14ac:dyDescent="0.3">
      <c r="A38" s="23" t="s">
        <v>56</v>
      </c>
      <c r="B38" s="2">
        <v>32393</v>
      </c>
      <c r="C38" s="2">
        <v>429</v>
      </c>
      <c r="D38" s="2">
        <v>8.56</v>
      </c>
    </row>
    <row r="39" spans="1:4" x14ac:dyDescent="0.3">
      <c r="A39" s="23" t="s">
        <v>58</v>
      </c>
      <c r="B39" s="2">
        <v>28474</v>
      </c>
      <c r="C39" s="2">
        <v>160</v>
      </c>
      <c r="D39" s="2">
        <v>4.5599999999999996</v>
      </c>
    </row>
    <row r="40" spans="1:4" x14ac:dyDescent="0.3">
      <c r="A40" s="22">
        <v>45495</v>
      </c>
      <c r="B40" s="2">
        <v>102610</v>
      </c>
      <c r="C40" s="2">
        <v>2753</v>
      </c>
      <c r="D40" s="2">
        <v>26.599999999999998</v>
      </c>
    </row>
    <row r="41" spans="1:4" x14ac:dyDescent="0.3">
      <c r="A41" s="23" t="s">
        <v>57</v>
      </c>
      <c r="B41" s="2">
        <v>26067</v>
      </c>
      <c r="C41" s="2">
        <v>961</v>
      </c>
      <c r="D41" s="2">
        <v>7.86</v>
      </c>
    </row>
    <row r="42" spans="1:4" x14ac:dyDescent="0.3">
      <c r="A42" s="23" t="s">
        <v>3</v>
      </c>
      <c r="B42" s="2">
        <v>17328</v>
      </c>
      <c r="C42" s="2">
        <v>159</v>
      </c>
      <c r="D42" s="2">
        <v>7.88</v>
      </c>
    </row>
    <row r="43" spans="1:4" x14ac:dyDescent="0.3">
      <c r="A43" s="23" t="s">
        <v>56</v>
      </c>
      <c r="B43" s="2">
        <v>32763</v>
      </c>
      <c r="C43" s="2">
        <v>1316</v>
      </c>
      <c r="D43" s="2">
        <v>5.34</v>
      </c>
    </row>
    <row r="44" spans="1:4" x14ac:dyDescent="0.3">
      <c r="A44" s="23" t="s">
        <v>58</v>
      </c>
      <c r="B44" s="2">
        <v>26452</v>
      </c>
      <c r="C44" s="2">
        <v>317</v>
      </c>
      <c r="D44" s="2">
        <v>5.52</v>
      </c>
    </row>
    <row r="45" spans="1:4" x14ac:dyDescent="0.3">
      <c r="A45" s="22">
        <v>45502</v>
      </c>
      <c r="B45" s="2">
        <v>76268</v>
      </c>
      <c r="C45" s="2">
        <v>2193</v>
      </c>
      <c r="D45" s="2">
        <v>19.62</v>
      </c>
    </row>
    <row r="46" spans="1:4" x14ac:dyDescent="0.3">
      <c r="A46" s="23" t="s">
        <v>57</v>
      </c>
      <c r="B46" s="2">
        <v>4839</v>
      </c>
      <c r="C46" s="2">
        <v>-318</v>
      </c>
      <c r="D46" s="2">
        <v>7.73</v>
      </c>
    </row>
    <row r="47" spans="1:4" x14ac:dyDescent="0.3">
      <c r="A47" s="23" t="s">
        <v>3</v>
      </c>
      <c r="B47" s="2">
        <v>15353</v>
      </c>
      <c r="C47" s="2">
        <v>541</v>
      </c>
      <c r="D47" s="2">
        <v>4.05</v>
      </c>
    </row>
    <row r="48" spans="1:4" x14ac:dyDescent="0.3">
      <c r="A48" s="23" t="s">
        <v>56</v>
      </c>
      <c r="B48" s="2">
        <v>39272</v>
      </c>
      <c r="C48" s="2">
        <v>1495</v>
      </c>
      <c r="D48" s="2">
        <v>4.3600000000000003</v>
      </c>
    </row>
    <row r="49" spans="1:4" x14ac:dyDescent="0.3">
      <c r="A49" s="23" t="s">
        <v>58</v>
      </c>
      <c r="B49" s="2">
        <v>16804</v>
      </c>
      <c r="C49" s="2">
        <v>475</v>
      </c>
      <c r="D49" s="2">
        <v>3.48</v>
      </c>
    </row>
    <row r="50" spans="1:4" x14ac:dyDescent="0.3">
      <c r="A50" s="20" t="s">
        <v>67</v>
      </c>
      <c r="B50" s="21">
        <v>439593</v>
      </c>
      <c r="C50" s="21">
        <v>10422</v>
      </c>
      <c r="D50" s="21">
        <v>105.63</v>
      </c>
    </row>
    <row r="51" spans="1:4" x14ac:dyDescent="0.3">
      <c r="A51" s="22">
        <v>45509</v>
      </c>
      <c r="B51" s="2">
        <v>137514</v>
      </c>
      <c r="C51" s="2">
        <v>802</v>
      </c>
      <c r="D51" s="2">
        <v>27.41</v>
      </c>
    </row>
    <row r="52" spans="1:4" x14ac:dyDescent="0.3">
      <c r="A52" s="23" t="s">
        <v>57</v>
      </c>
      <c r="B52" s="2">
        <v>26455</v>
      </c>
      <c r="C52" s="2">
        <v>-197</v>
      </c>
      <c r="D52" s="2">
        <v>6.11</v>
      </c>
    </row>
    <row r="53" spans="1:4" x14ac:dyDescent="0.3">
      <c r="A53" s="23" t="s">
        <v>3</v>
      </c>
      <c r="B53" s="2">
        <v>49303</v>
      </c>
      <c r="C53" s="2">
        <v>352</v>
      </c>
      <c r="D53" s="2">
        <v>7.83</v>
      </c>
    </row>
    <row r="54" spans="1:4" x14ac:dyDescent="0.3">
      <c r="A54" s="23" t="s">
        <v>56</v>
      </c>
      <c r="B54" s="2">
        <v>12384</v>
      </c>
      <c r="C54" s="2">
        <v>328</v>
      </c>
      <c r="D54" s="2">
        <v>9.43</v>
      </c>
    </row>
    <row r="55" spans="1:4" x14ac:dyDescent="0.3">
      <c r="A55" s="23" t="s">
        <v>58</v>
      </c>
      <c r="B55" s="2">
        <v>49372</v>
      </c>
      <c r="C55" s="2">
        <v>319</v>
      </c>
      <c r="D55" s="2">
        <v>4.04</v>
      </c>
    </row>
    <row r="56" spans="1:4" x14ac:dyDescent="0.3">
      <c r="A56" s="22">
        <v>45516</v>
      </c>
      <c r="B56" s="2">
        <v>125177</v>
      </c>
      <c r="C56" s="2">
        <v>3728</v>
      </c>
      <c r="D56" s="2">
        <v>26.21</v>
      </c>
    </row>
    <row r="57" spans="1:4" x14ac:dyDescent="0.3">
      <c r="A57" s="23" t="s">
        <v>57</v>
      </c>
      <c r="B57" s="2">
        <v>37903</v>
      </c>
      <c r="C57" s="2">
        <v>1334</v>
      </c>
      <c r="D57" s="2">
        <v>6.01</v>
      </c>
    </row>
    <row r="58" spans="1:4" x14ac:dyDescent="0.3">
      <c r="A58" s="23" t="s">
        <v>3</v>
      </c>
      <c r="B58" s="2">
        <v>47101</v>
      </c>
      <c r="C58" s="2">
        <v>1325</v>
      </c>
      <c r="D58" s="2">
        <v>6.23</v>
      </c>
    </row>
    <row r="59" spans="1:4" x14ac:dyDescent="0.3">
      <c r="A59" s="23" t="s">
        <v>56</v>
      </c>
      <c r="B59" s="2">
        <v>33258</v>
      </c>
      <c r="C59" s="2">
        <v>37</v>
      </c>
      <c r="D59" s="2">
        <v>8.5500000000000007</v>
      </c>
    </row>
    <row r="60" spans="1:4" x14ac:dyDescent="0.3">
      <c r="A60" s="23" t="s">
        <v>58</v>
      </c>
      <c r="B60" s="2">
        <v>6915</v>
      </c>
      <c r="C60" s="2">
        <v>1032</v>
      </c>
      <c r="D60" s="2">
        <v>5.42</v>
      </c>
    </row>
    <row r="61" spans="1:4" x14ac:dyDescent="0.3">
      <c r="A61" s="22">
        <v>45523</v>
      </c>
      <c r="B61" s="2">
        <v>82193</v>
      </c>
      <c r="C61" s="2">
        <v>2989</v>
      </c>
      <c r="D61" s="2">
        <v>25.52</v>
      </c>
    </row>
    <row r="62" spans="1:4" x14ac:dyDescent="0.3">
      <c r="A62" s="23" t="s">
        <v>57</v>
      </c>
      <c r="B62" s="2">
        <v>14203</v>
      </c>
      <c r="C62" s="2">
        <v>1058</v>
      </c>
      <c r="D62" s="2">
        <v>8.84</v>
      </c>
    </row>
    <row r="63" spans="1:4" x14ac:dyDescent="0.3">
      <c r="A63" s="23" t="s">
        <v>3</v>
      </c>
      <c r="B63" s="2">
        <v>35501</v>
      </c>
      <c r="C63" s="2">
        <v>76</v>
      </c>
      <c r="D63" s="2">
        <v>3.25</v>
      </c>
    </row>
    <row r="64" spans="1:4" x14ac:dyDescent="0.3">
      <c r="A64" s="23" t="s">
        <v>56</v>
      </c>
      <c r="B64" s="2">
        <v>22206</v>
      </c>
      <c r="C64" s="2">
        <v>1665</v>
      </c>
      <c r="D64" s="2">
        <v>7.24</v>
      </c>
    </row>
    <row r="65" spans="1:4" x14ac:dyDescent="0.3">
      <c r="A65" s="23" t="s">
        <v>58</v>
      </c>
      <c r="B65" s="2">
        <v>10283</v>
      </c>
      <c r="C65" s="2">
        <v>190</v>
      </c>
      <c r="D65" s="2">
        <v>6.19</v>
      </c>
    </row>
    <row r="66" spans="1:4" x14ac:dyDescent="0.3">
      <c r="A66" s="22">
        <v>45530</v>
      </c>
      <c r="B66" s="2">
        <v>94709</v>
      </c>
      <c r="C66" s="2">
        <v>2903</v>
      </c>
      <c r="D66" s="2">
        <v>26.490000000000002</v>
      </c>
    </row>
    <row r="67" spans="1:4" x14ac:dyDescent="0.3">
      <c r="A67" s="23" t="s">
        <v>57</v>
      </c>
      <c r="B67" s="2">
        <v>26925</v>
      </c>
      <c r="C67" s="2">
        <v>37</v>
      </c>
      <c r="D67" s="2">
        <v>9.0399999999999991</v>
      </c>
    </row>
    <row r="68" spans="1:4" x14ac:dyDescent="0.3">
      <c r="A68" s="23" t="s">
        <v>3</v>
      </c>
      <c r="B68" s="2">
        <v>24913</v>
      </c>
      <c r="C68" s="2">
        <v>1609</v>
      </c>
      <c r="D68" s="2">
        <v>5.71</v>
      </c>
    </row>
    <row r="69" spans="1:4" x14ac:dyDescent="0.3">
      <c r="A69" s="23" t="s">
        <v>56</v>
      </c>
      <c r="B69" s="2">
        <v>9942</v>
      </c>
      <c r="C69" s="2">
        <v>1229</v>
      </c>
      <c r="D69" s="2">
        <v>3.91</v>
      </c>
    </row>
    <row r="70" spans="1:4" x14ac:dyDescent="0.3">
      <c r="A70" s="23" t="s">
        <v>58</v>
      </c>
      <c r="B70" s="2">
        <v>32929</v>
      </c>
      <c r="C70" s="2">
        <v>28</v>
      </c>
      <c r="D70" s="2">
        <v>7.83</v>
      </c>
    </row>
    <row r="71" spans="1:4" x14ac:dyDescent="0.3">
      <c r="A71" s="20" t="s">
        <v>68</v>
      </c>
      <c r="B71" s="21">
        <v>456377</v>
      </c>
      <c r="C71" s="21">
        <v>15234</v>
      </c>
      <c r="D71" s="21">
        <v>120.14</v>
      </c>
    </row>
    <row r="72" spans="1:4" x14ac:dyDescent="0.3">
      <c r="A72" s="22">
        <v>45537</v>
      </c>
      <c r="B72" s="2">
        <v>100656</v>
      </c>
      <c r="C72" s="2">
        <v>2822</v>
      </c>
      <c r="D72" s="2">
        <v>25.45</v>
      </c>
    </row>
    <row r="73" spans="1:4" x14ac:dyDescent="0.3">
      <c r="A73" s="23" t="s">
        <v>57</v>
      </c>
      <c r="B73" s="2">
        <v>24384</v>
      </c>
      <c r="C73" s="2">
        <v>1045</v>
      </c>
      <c r="D73" s="2">
        <v>6.41</v>
      </c>
    </row>
    <row r="74" spans="1:4" x14ac:dyDescent="0.3">
      <c r="A74" s="23" t="s">
        <v>3</v>
      </c>
      <c r="B74" s="2">
        <v>37829</v>
      </c>
      <c r="C74" s="2">
        <v>1247</v>
      </c>
      <c r="D74" s="2">
        <v>7.16</v>
      </c>
    </row>
    <row r="75" spans="1:4" x14ac:dyDescent="0.3">
      <c r="A75" s="23" t="s">
        <v>56</v>
      </c>
      <c r="B75" s="2">
        <v>25797</v>
      </c>
      <c r="C75" s="2">
        <v>197</v>
      </c>
      <c r="D75" s="2">
        <v>8.02</v>
      </c>
    </row>
    <row r="76" spans="1:4" x14ac:dyDescent="0.3">
      <c r="A76" s="23" t="s">
        <v>58</v>
      </c>
      <c r="B76" s="2">
        <v>12646</v>
      </c>
      <c r="C76" s="2">
        <v>333</v>
      </c>
      <c r="D76" s="2">
        <v>3.86</v>
      </c>
    </row>
    <row r="77" spans="1:4" x14ac:dyDescent="0.3">
      <c r="A77" s="22">
        <v>45544</v>
      </c>
      <c r="B77" s="2">
        <v>92834</v>
      </c>
      <c r="C77" s="2">
        <v>4360</v>
      </c>
      <c r="D77" s="2">
        <v>29.08</v>
      </c>
    </row>
    <row r="78" spans="1:4" x14ac:dyDescent="0.3">
      <c r="A78" s="23" t="s">
        <v>57</v>
      </c>
      <c r="B78" s="2">
        <v>40478</v>
      </c>
      <c r="C78" s="2">
        <v>1428</v>
      </c>
      <c r="D78" s="2">
        <v>1.76</v>
      </c>
    </row>
    <row r="79" spans="1:4" x14ac:dyDescent="0.3">
      <c r="A79" s="23" t="s">
        <v>3</v>
      </c>
      <c r="B79" s="2">
        <v>26663</v>
      </c>
      <c r="C79" s="2">
        <v>1572</v>
      </c>
      <c r="D79" s="2">
        <v>9.09</v>
      </c>
    </row>
    <row r="80" spans="1:4" x14ac:dyDescent="0.3">
      <c r="A80" s="23" t="s">
        <v>56</v>
      </c>
      <c r="B80" s="2">
        <v>15476</v>
      </c>
      <c r="C80" s="2">
        <v>260</v>
      </c>
      <c r="D80" s="2">
        <v>9.24</v>
      </c>
    </row>
    <row r="81" spans="1:4" x14ac:dyDescent="0.3">
      <c r="A81" s="23" t="s">
        <v>58</v>
      </c>
      <c r="B81" s="2">
        <v>10217</v>
      </c>
      <c r="C81" s="2">
        <v>1100</v>
      </c>
      <c r="D81" s="2">
        <v>8.99</v>
      </c>
    </row>
    <row r="82" spans="1:4" x14ac:dyDescent="0.3">
      <c r="A82" s="22">
        <v>45551</v>
      </c>
      <c r="B82" s="2">
        <v>105113</v>
      </c>
      <c r="C82" s="2">
        <v>1568</v>
      </c>
      <c r="D82" s="2">
        <v>24.689999999999998</v>
      </c>
    </row>
    <row r="83" spans="1:4" x14ac:dyDescent="0.3">
      <c r="A83" s="23" t="s">
        <v>57</v>
      </c>
      <c r="B83" s="2">
        <v>47462</v>
      </c>
      <c r="C83" s="2">
        <v>98</v>
      </c>
      <c r="D83" s="2">
        <v>9.1999999999999993</v>
      </c>
    </row>
    <row r="84" spans="1:4" x14ac:dyDescent="0.3">
      <c r="A84" s="23" t="s">
        <v>3</v>
      </c>
      <c r="B84" s="2">
        <v>21939</v>
      </c>
      <c r="C84" s="2">
        <v>377</v>
      </c>
      <c r="D84" s="2">
        <v>3.4</v>
      </c>
    </row>
    <row r="85" spans="1:4" x14ac:dyDescent="0.3">
      <c r="A85" s="23" t="s">
        <v>56</v>
      </c>
      <c r="B85" s="2">
        <v>30270</v>
      </c>
      <c r="C85" s="2">
        <v>1125</v>
      </c>
      <c r="D85" s="2">
        <v>8.59</v>
      </c>
    </row>
    <row r="86" spans="1:4" x14ac:dyDescent="0.3">
      <c r="A86" s="23" t="s">
        <v>58</v>
      </c>
      <c r="B86" s="2">
        <v>5442</v>
      </c>
      <c r="C86" s="2">
        <v>-32</v>
      </c>
      <c r="D86" s="2">
        <v>3.5</v>
      </c>
    </row>
    <row r="87" spans="1:4" x14ac:dyDescent="0.3">
      <c r="A87" s="22">
        <v>45558</v>
      </c>
      <c r="B87" s="2">
        <v>75885</v>
      </c>
      <c r="C87" s="2">
        <v>3333</v>
      </c>
      <c r="D87" s="2">
        <v>26.400000000000006</v>
      </c>
    </row>
    <row r="88" spans="1:4" x14ac:dyDescent="0.3">
      <c r="A88" s="23" t="s">
        <v>57</v>
      </c>
      <c r="B88" s="2">
        <v>11901</v>
      </c>
      <c r="C88" s="2">
        <v>-19</v>
      </c>
      <c r="D88" s="2">
        <v>7.36</v>
      </c>
    </row>
    <row r="89" spans="1:4" x14ac:dyDescent="0.3">
      <c r="A89" s="23" t="s">
        <v>3</v>
      </c>
      <c r="B89" s="2">
        <v>1083</v>
      </c>
      <c r="C89" s="2">
        <v>666</v>
      </c>
      <c r="D89" s="2">
        <v>2.36</v>
      </c>
    </row>
    <row r="90" spans="1:4" x14ac:dyDescent="0.3">
      <c r="A90" s="23" t="s">
        <v>56</v>
      </c>
      <c r="B90" s="2">
        <v>24018</v>
      </c>
      <c r="C90" s="2">
        <v>1680</v>
      </c>
      <c r="D90" s="2">
        <v>8.5500000000000007</v>
      </c>
    </row>
    <row r="91" spans="1:4" x14ac:dyDescent="0.3">
      <c r="A91" s="23" t="s">
        <v>58</v>
      </c>
      <c r="B91" s="2">
        <v>38883</v>
      </c>
      <c r="C91" s="2">
        <v>1006</v>
      </c>
      <c r="D91" s="2">
        <v>8.1300000000000008</v>
      </c>
    </row>
    <row r="92" spans="1:4" x14ac:dyDescent="0.3">
      <c r="A92" s="22">
        <v>45565</v>
      </c>
      <c r="B92" s="2">
        <v>81889</v>
      </c>
      <c r="C92" s="2">
        <v>3151</v>
      </c>
      <c r="D92" s="2">
        <v>14.52</v>
      </c>
    </row>
    <row r="93" spans="1:4" x14ac:dyDescent="0.3">
      <c r="A93" s="23" t="s">
        <v>57</v>
      </c>
      <c r="B93" s="2">
        <v>2315</v>
      </c>
      <c r="C93" s="2">
        <v>-179</v>
      </c>
      <c r="D93" s="2">
        <v>1.77</v>
      </c>
    </row>
    <row r="94" spans="1:4" x14ac:dyDescent="0.3">
      <c r="A94" s="23" t="s">
        <v>3</v>
      </c>
      <c r="B94" s="2">
        <v>30575</v>
      </c>
      <c r="C94" s="2">
        <v>1025</v>
      </c>
      <c r="D94" s="2">
        <v>3.3</v>
      </c>
    </row>
    <row r="95" spans="1:4" x14ac:dyDescent="0.3">
      <c r="A95" s="23" t="s">
        <v>56</v>
      </c>
      <c r="B95" s="2">
        <v>12148</v>
      </c>
      <c r="C95" s="2">
        <v>599</v>
      </c>
      <c r="D95" s="2">
        <v>2.09</v>
      </c>
    </row>
    <row r="96" spans="1:4" x14ac:dyDescent="0.3">
      <c r="A96" s="23" t="s">
        <v>58</v>
      </c>
      <c r="B96" s="2">
        <v>36851</v>
      </c>
      <c r="C96" s="2">
        <v>1706</v>
      </c>
      <c r="D96" s="2">
        <v>7.36</v>
      </c>
    </row>
    <row r="97" spans="1:4" x14ac:dyDescent="0.3">
      <c r="A97" s="20" t="s">
        <v>69</v>
      </c>
      <c r="B97" s="21">
        <v>447611</v>
      </c>
      <c r="C97" s="21">
        <v>11092</v>
      </c>
      <c r="D97" s="21">
        <v>83.319999999999979</v>
      </c>
    </row>
    <row r="98" spans="1:4" x14ac:dyDescent="0.3">
      <c r="A98" s="22">
        <v>45572</v>
      </c>
      <c r="B98" s="2">
        <v>117382</v>
      </c>
      <c r="C98" s="2">
        <v>3759</v>
      </c>
      <c r="D98" s="2">
        <v>22.27</v>
      </c>
    </row>
    <row r="99" spans="1:4" x14ac:dyDescent="0.3">
      <c r="A99" s="23" t="s">
        <v>57</v>
      </c>
      <c r="B99" s="2">
        <v>43836</v>
      </c>
      <c r="C99" s="2">
        <v>1662</v>
      </c>
      <c r="D99" s="2">
        <v>1.75</v>
      </c>
    </row>
    <row r="100" spans="1:4" x14ac:dyDescent="0.3">
      <c r="A100" s="23" t="s">
        <v>3</v>
      </c>
      <c r="B100" s="2">
        <v>41215</v>
      </c>
      <c r="C100" s="2">
        <v>1872</v>
      </c>
      <c r="D100" s="2">
        <v>6.25</v>
      </c>
    </row>
    <row r="101" spans="1:4" x14ac:dyDescent="0.3">
      <c r="A101" s="23" t="s">
        <v>56</v>
      </c>
      <c r="B101" s="2">
        <v>4509</v>
      </c>
      <c r="C101" s="2">
        <v>107</v>
      </c>
      <c r="D101" s="2">
        <v>4.97</v>
      </c>
    </row>
    <row r="102" spans="1:4" x14ac:dyDescent="0.3">
      <c r="A102" s="23" t="s">
        <v>58</v>
      </c>
      <c r="B102" s="2">
        <v>27822</v>
      </c>
      <c r="C102" s="2">
        <v>118</v>
      </c>
      <c r="D102" s="2">
        <v>9.3000000000000007</v>
      </c>
    </row>
    <row r="103" spans="1:4" x14ac:dyDescent="0.3">
      <c r="A103" s="22">
        <v>45579</v>
      </c>
      <c r="B103" s="2">
        <v>83598</v>
      </c>
      <c r="C103" s="2">
        <v>1856</v>
      </c>
      <c r="D103" s="2">
        <v>20.21</v>
      </c>
    </row>
    <row r="104" spans="1:4" x14ac:dyDescent="0.3">
      <c r="A104" s="23" t="s">
        <v>57</v>
      </c>
      <c r="B104" s="2">
        <v>7285</v>
      </c>
      <c r="C104" s="2">
        <v>285</v>
      </c>
      <c r="D104" s="2">
        <v>3.88</v>
      </c>
    </row>
    <row r="105" spans="1:4" x14ac:dyDescent="0.3">
      <c r="A105" s="23" t="s">
        <v>3</v>
      </c>
      <c r="B105" s="2">
        <v>36397</v>
      </c>
      <c r="C105" s="2">
        <v>1224</v>
      </c>
      <c r="D105" s="2">
        <v>8.9</v>
      </c>
    </row>
    <row r="106" spans="1:4" x14ac:dyDescent="0.3">
      <c r="A106" s="23" t="s">
        <v>56</v>
      </c>
      <c r="B106" s="2">
        <v>33174</v>
      </c>
      <c r="C106" s="2">
        <v>-20</v>
      </c>
      <c r="D106" s="2">
        <v>5.9</v>
      </c>
    </row>
    <row r="107" spans="1:4" x14ac:dyDescent="0.3">
      <c r="A107" s="23" t="s">
        <v>58</v>
      </c>
      <c r="B107" s="2">
        <v>6742</v>
      </c>
      <c r="C107" s="2">
        <v>367</v>
      </c>
      <c r="D107" s="2">
        <v>1.53</v>
      </c>
    </row>
    <row r="108" spans="1:4" x14ac:dyDescent="0.3">
      <c r="A108" s="22">
        <v>45586</v>
      </c>
      <c r="B108" s="2">
        <v>140831</v>
      </c>
      <c r="C108" s="2">
        <v>2821</v>
      </c>
      <c r="D108" s="2">
        <v>23.32</v>
      </c>
    </row>
    <row r="109" spans="1:4" x14ac:dyDescent="0.3">
      <c r="A109" s="23" t="s">
        <v>57</v>
      </c>
      <c r="B109" s="2">
        <v>42824</v>
      </c>
      <c r="C109" s="2">
        <v>439</v>
      </c>
      <c r="D109" s="2">
        <v>3.16</v>
      </c>
    </row>
    <row r="110" spans="1:4" x14ac:dyDescent="0.3">
      <c r="A110" s="23" t="s">
        <v>3</v>
      </c>
      <c r="B110" s="2">
        <v>32478</v>
      </c>
      <c r="C110" s="2">
        <v>262</v>
      </c>
      <c r="D110" s="2">
        <v>6.5</v>
      </c>
    </row>
    <row r="111" spans="1:4" x14ac:dyDescent="0.3">
      <c r="A111" s="23" t="s">
        <v>56</v>
      </c>
      <c r="B111" s="2">
        <v>21208</v>
      </c>
      <c r="C111" s="2">
        <v>636</v>
      </c>
      <c r="D111" s="2">
        <v>8.25</v>
      </c>
    </row>
    <row r="112" spans="1:4" x14ac:dyDescent="0.3">
      <c r="A112" s="23" t="s">
        <v>58</v>
      </c>
      <c r="B112" s="2">
        <v>44321</v>
      </c>
      <c r="C112" s="2">
        <v>1484</v>
      </c>
      <c r="D112" s="2">
        <v>5.41</v>
      </c>
    </row>
    <row r="113" spans="1:4" x14ac:dyDescent="0.3">
      <c r="A113" s="22">
        <v>45593</v>
      </c>
      <c r="B113" s="2">
        <v>105800</v>
      </c>
      <c r="C113" s="2">
        <v>2656</v>
      </c>
      <c r="D113" s="2">
        <v>17.519999999999996</v>
      </c>
    </row>
    <row r="114" spans="1:4" x14ac:dyDescent="0.3">
      <c r="A114" s="23" t="s">
        <v>57</v>
      </c>
      <c r="B114" s="2">
        <v>30214</v>
      </c>
      <c r="C114" s="2">
        <v>386</v>
      </c>
      <c r="D114" s="2">
        <v>4.46</v>
      </c>
    </row>
    <row r="115" spans="1:4" x14ac:dyDescent="0.3">
      <c r="A115" s="23" t="s">
        <v>3</v>
      </c>
      <c r="B115" s="2">
        <v>13116</v>
      </c>
      <c r="C115" s="2">
        <v>576</v>
      </c>
      <c r="D115" s="2">
        <v>5.85</v>
      </c>
    </row>
    <row r="116" spans="1:4" x14ac:dyDescent="0.3">
      <c r="A116" s="23" t="s">
        <v>56</v>
      </c>
      <c r="B116" s="2">
        <v>15827</v>
      </c>
      <c r="C116" s="2">
        <v>37</v>
      </c>
      <c r="D116" s="2">
        <v>5.22</v>
      </c>
    </row>
    <row r="117" spans="1:4" x14ac:dyDescent="0.3">
      <c r="A117" s="23" t="s">
        <v>58</v>
      </c>
      <c r="B117" s="2">
        <v>46643</v>
      </c>
      <c r="C117" s="2">
        <v>1657</v>
      </c>
      <c r="D117" s="2">
        <v>1.99</v>
      </c>
    </row>
    <row r="118" spans="1:4" x14ac:dyDescent="0.3">
      <c r="A118" s="20" t="s">
        <v>70</v>
      </c>
      <c r="B118" s="21">
        <v>424987</v>
      </c>
      <c r="C118" s="21">
        <v>11415</v>
      </c>
      <c r="D118" s="21">
        <v>92.77000000000001</v>
      </c>
    </row>
    <row r="119" spans="1:4" x14ac:dyDescent="0.3">
      <c r="A119" s="22">
        <v>45600</v>
      </c>
      <c r="B119" s="2">
        <v>94018</v>
      </c>
      <c r="C119" s="2">
        <v>4584</v>
      </c>
      <c r="D119" s="2">
        <v>21.93</v>
      </c>
    </row>
    <row r="120" spans="1:4" x14ac:dyDescent="0.3">
      <c r="A120" s="23" t="s">
        <v>57</v>
      </c>
      <c r="B120" s="2">
        <v>4996</v>
      </c>
      <c r="C120" s="2">
        <v>540</v>
      </c>
      <c r="D120" s="2">
        <v>3.32</v>
      </c>
    </row>
    <row r="121" spans="1:4" x14ac:dyDescent="0.3">
      <c r="A121" s="23" t="s">
        <v>3</v>
      </c>
      <c r="B121" s="2">
        <v>36484</v>
      </c>
      <c r="C121" s="2">
        <v>1397</v>
      </c>
      <c r="D121" s="2">
        <v>6.85</v>
      </c>
    </row>
    <row r="122" spans="1:4" x14ac:dyDescent="0.3">
      <c r="A122" s="23" t="s">
        <v>56</v>
      </c>
      <c r="B122" s="2">
        <v>36095</v>
      </c>
      <c r="C122" s="2">
        <v>1603</v>
      </c>
      <c r="D122" s="2">
        <v>5.68</v>
      </c>
    </row>
    <row r="123" spans="1:4" x14ac:dyDescent="0.3">
      <c r="A123" s="23" t="s">
        <v>58</v>
      </c>
      <c r="B123" s="2">
        <v>16443</v>
      </c>
      <c r="C123" s="2">
        <v>1044</v>
      </c>
      <c r="D123" s="2">
        <v>6.08</v>
      </c>
    </row>
    <row r="124" spans="1:4" x14ac:dyDescent="0.3">
      <c r="A124" s="22">
        <v>45607</v>
      </c>
      <c r="B124" s="2">
        <v>125961</v>
      </c>
      <c r="C124" s="2">
        <v>2295</v>
      </c>
      <c r="D124" s="2">
        <v>23.79</v>
      </c>
    </row>
    <row r="125" spans="1:4" x14ac:dyDescent="0.3">
      <c r="A125" s="23" t="s">
        <v>57</v>
      </c>
      <c r="B125" s="2">
        <v>38452</v>
      </c>
      <c r="C125" s="2">
        <v>-106</v>
      </c>
      <c r="D125" s="2">
        <v>8.6999999999999993</v>
      </c>
    </row>
    <row r="126" spans="1:4" x14ac:dyDescent="0.3">
      <c r="A126" s="23" t="s">
        <v>3</v>
      </c>
      <c r="B126" s="2">
        <v>47812</v>
      </c>
      <c r="C126" s="2">
        <v>902</v>
      </c>
      <c r="D126" s="2">
        <v>4.66</v>
      </c>
    </row>
    <row r="127" spans="1:4" x14ac:dyDescent="0.3">
      <c r="A127" s="23" t="s">
        <v>56</v>
      </c>
      <c r="B127" s="2">
        <v>30428</v>
      </c>
      <c r="C127" s="2">
        <v>1150</v>
      </c>
      <c r="D127" s="2">
        <v>2.46</v>
      </c>
    </row>
    <row r="128" spans="1:4" x14ac:dyDescent="0.3">
      <c r="A128" s="23" t="s">
        <v>58</v>
      </c>
      <c r="B128" s="2">
        <v>9269</v>
      </c>
      <c r="C128" s="2">
        <v>349</v>
      </c>
      <c r="D128" s="2">
        <v>7.97</v>
      </c>
    </row>
    <row r="129" spans="1:4" x14ac:dyDescent="0.3">
      <c r="A129" s="22">
        <v>45614</v>
      </c>
      <c r="B129" s="2">
        <v>97294</v>
      </c>
      <c r="C129" s="2">
        <v>528</v>
      </c>
      <c r="D129" s="2">
        <v>24.09</v>
      </c>
    </row>
    <row r="130" spans="1:4" x14ac:dyDescent="0.3">
      <c r="A130" s="23" t="s">
        <v>57</v>
      </c>
      <c r="B130" s="2">
        <v>39997</v>
      </c>
      <c r="C130" s="2">
        <v>72</v>
      </c>
      <c r="D130" s="2">
        <v>2.68</v>
      </c>
    </row>
    <row r="131" spans="1:4" x14ac:dyDescent="0.3">
      <c r="A131" s="23" t="s">
        <v>3</v>
      </c>
      <c r="B131" s="2">
        <v>29533</v>
      </c>
      <c r="C131" s="2">
        <v>-49</v>
      </c>
      <c r="D131" s="2">
        <v>9.41</v>
      </c>
    </row>
    <row r="132" spans="1:4" x14ac:dyDescent="0.3">
      <c r="A132" s="23" t="s">
        <v>56</v>
      </c>
      <c r="B132" s="2">
        <v>5391</v>
      </c>
      <c r="C132" s="2">
        <v>445</v>
      </c>
      <c r="D132" s="2">
        <v>7.32</v>
      </c>
    </row>
    <row r="133" spans="1:4" x14ac:dyDescent="0.3">
      <c r="A133" s="23" t="s">
        <v>58</v>
      </c>
      <c r="B133" s="2">
        <v>22373</v>
      </c>
      <c r="C133" s="2">
        <v>60</v>
      </c>
      <c r="D133" s="2">
        <v>4.68</v>
      </c>
    </row>
    <row r="134" spans="1:4" x14ac:dyDescent="0.3">
      <c r="A134" s="22">
        <v>45621</v>
      </c>
      <c r="B134" s="2">
        <v>107714</v>
      </c>
      <c r="C134" s="2">
        <v>4008</v>
      </c>
      <c r="D134" s="2">
        <v>22.96</v>
      </c>
    </row>
    <row r="135" spans="1:4" x14ac:dyDescent="0.3">
      <c r="A135" s="23" t="s">
        <v>57</v>
      </c>
      <c r="B135" s="2">
        <v>28498</v>
      </c>
      <c r="C135" s="2">
        <v>1332</v>
      </c>
      <c r="D135" s="2">
        <v>6.2</v>
      </c>
    </row>
    <row r="136" spans="1:4" x14ac:dyDescent="0.3">
      <c r="A136" s="23" t="s">
        <v>3</v>
      </c>
      <c r="B136" s="2">
        <v>1810</v>
      </c>
      <c r="C136" s="2">
        <v>1693</v>
      </c>
      <c r="D136" s="2">
        <v>5.17</v>
      </c>
    </row>
    <row r="137" spans="1:4" x14ac:dyDescent="0.3">
      <c r="A137" s="23" t="s">
        <v>56</v>
      </c>
      <c r="B137" s="2">
        <v>39530</v>
      </c>
      <c r="C137" s="2">
        <v>98</v>
      </c>
      <c r="D137" s="2">
        <v>2.69</v>
      </c>
    </row>
    <row r="138" spans="1:4" x14ac:dyDescent="0.3">
      <c r="A138" s="23" t="s">
        <v>58</v>
      </c>
      <c r="B138" s="2">
        <v>37876</v>
      </c>
      <c r="C138" s="2">
        <v>885</v>
      </c>
      <c r="D138" s="2">
        <v>8.9</v>
      </c>
    </row>
    <row r="139" spans="1:4" x14ac:dyDescent="0.3">
      <c r="A139" s="20" t="s">
        <v>71</v>
      </c>
      <c r="B139" s="21">
        <v>497782</v>
      </c>
      <c r="C139" s="21">
        <v>25075</v>
      </c>
      <c r="D139" s="21">
        <v>97.79</v>
      </c>
    </row>
    <row r="140" spans="1:4" x14ac:dyDescent="0.3">
      <c r="A140" s="22">
        <v>45628</v>
      </c>
      <c r="B140" s="2">
        <v>106549</v>
      </c>
      <c r="C140" s="2">
        <v>4795</v>
      </c>
      <c r="D140" s="2">
        <v>17.599999999999998</v>
      </c>
    </row>
    <row r="141" spans="1:4" x14ac:dyDescent="0.3">
      <c r="A141" s="23" t="s">
        <v>57</v>
      </c>
      <c r="B141" s="2">
        <v>26103</v>
      </c>
      <c r="C141" s="2">
        <v>1706</v>
      </c>
      <c r="D141" s="2">
        <v>4.79</v>
      </c>
    </row>
    <row r="142" spans="1:4" x14ac:dyDescent="0.3">
      <c r="A142" s="23" t="s">
        <v>3</v>
      </c>
      <c r="B142" s="2">
        <v>36103</v>
      </c>
      <c r="C142" s="2">
        <v>1625</v>
      </c>
      <c r="D142" s="2">
        <v>3.79</v>
      </c>
    </row>
    <row r="143" spans="1:4" x14ac:dyDescent="0.3">
      <c r="A143" s="23" t="s">
        <v>56</v>
      </c>
      <c r="B143" s="2">
        <v>3455</v>
      </c>
      <c r="C143" s="2">
        <v>1173</v>
      </c>
      <c r="D143" s="2">
        <v>6.37</v>
      </c>
    </row>
    <row r="144" spans="1:4" x14ac:dyDescent="0.3">
      <c r="A144" s="23" t="s">
        <v>58</v>
      </c>
      <c r="B144" s="2">
        <v>40888</v>
      </c>
      <c r="C144" s="2">
        <v>291</v>
      </c>
      <c r="D144" s="2">
        <v>2.65</v>
      </c>
    </row>
    <row r="145" spans="1:4" x14ac:dyDescent="0.3">
      <c r="A145" s="22">
        <v>45635</v>
      </c>
      <c r="B145" s="2">
        <v>108811</v>
      </c>
      <c r="C145" s="2">
        <v>4792</v>
      </c>
      <c r="D145" s="2">
        <v>18.91</v>
      </c>
    </row>
    <row r="146" spans="1:4" x14ac:dyDescent="0.3">
      <c r="A146" s="23" t="s">
        <v>57</v>
      </c>
      <c r="B146" s="2">
        <v>18601</v>
      </c>
      <c r="C146" s="2">
        <v>1373</v>
      </c>
      <c r="D146" s="2">
        <v>7.47</v>
      </c>
    </row>
    <row r="147" spans="1:4" x14ac:dyDescent="0.3">
      <c r="A147" s="23" t="s">
        <v>3</v>
      </c>
      <c r="B147" s="2">
        <v>22724</v>
      </c>
      <c r="C147" s="2">
        <v>1119</v>
      </c>
      <c r="D147" s="2">
        <v>1.81</v>
      </c>
    </row>
    <row r="148" spans="1:4" x14ac:dyDescent="0.3">
      <c r="A148" s="23" t="s">
        <v>56</v>
      </c>
      <c r="B148" s="2">
        <v>20861</v>
      </c>
      <c r="C148" s="2">
        <v>1727</v>
      </c>
      <c r="D148" s="2">
        <v>4.2</v>
      </c>
    </row>
    <row r="149" spans="1:4" x14ac:dyDescent="0.3">
      <c r="A149" s="23" t="s">
        <v>58</v>
      </c>
      <c r="B149" s="2">
        <v>46625</v>
      </c>
      <c r="C149" s="2">
        <v>573</v>
      </c>
      <c r="D149" s="2">
        <v>5.43</v>
      </c>
    </row>
    <row r="150" spans="1:4" x14ac:dyDescent="0.3">
      <c r="A150" s="22">
        <v>45642</v>
      </c>
      <c r="B150" s="2">
        <v>102222</v>
      </c>
      <c r="C150" s="2">
        <v>5044</v>
      </c>
      <c r="D150" s="2">
        <v>26.18</v>
      </c>
    </row>
    <row r="151" spans="1:4" x14ac:dyDescent="0.3">
      <c r="A151" s="23" t="s">
        <v>57</v>
      </c>
      <c r="B151" s="2">
        <v>18656</v>
      </c>
      <c r="C151" s="2">
        <v>1377</v>
      </c>
      <c r="D151" s="2">
        <v>8.11</v>
      </c>
    </row>
    <row r="152" spans="1:4" x14ac:dyDescent="0.3">
      <c r="A152" s="23" t="s">
        <v>3</v>
      </c>
      <c r="B152" s="2">
        <v>20692</v>
      </c>
      <c r="C152" s="2">
        <v>1432</v>
      </c>
      <c r="D152" s="2">
        <v>3.32</v>
      </c>
    </row>
    <row r="153" spans="1:4" x14ac:dyDescent="0.3">
      <c r="A153" s="23" t="s">
        <v>56</v>
      </c>
      <c r="B153" s="2">
        <v>13316</v>
      </c>
      <c r="C153" s="2">
        <v>1359</v>
      </c>
      <c r="D153" s="2">
        <v>6.66</v>
      </c>
    </row>
    <row r="154" spans="1:4" x14ac:dyDescent="0.3">
      <c r="A154" s="23" t="s">
        <v>58</v>
      </c>
      <c r="B154" s="2">
        <v>49558</v>
      </c>
      <c r="C154" s="2">
        <v>876</v>
      </c>
      <c r="D154" s="2">
        <v>8.09</v>
      </c>
    </row>
    <row r="155" spans="1:4" x14ac:dyDescent="0.3">
      <c r="A155" s="22">
        <v>45649</v>
      </c>
      <c r="B155" s="2">
        <v>101698</v>
      </c>
      <c r="C155" s="2">
        <v>3914</v>
      </c>
      <c r="D155" s="2">
        <v>21.09</v>
      </c>
    </row>
    <row r="156" spans="1:4" x14ac:dyDescent="0.3">
      <c r="A156" s="23" t="s">
        <v>57</v>
      </c>
      <c r="B156" s="2">
        <v>47502</v>
      </c>
      <c r="C156" s="2">
        <v>730</v>
      </c>
      <c r="D156" s="2">
        <v>2.02</v>
      </c>
    </row>
    <row r="157" spans="1:4" x14ac:dyDescent="0.3">
      <c r="A157" s="23" t="s">
        <v>3</v>
      </c>
      <c r="B157" s="2">
        <v>4683</v>
      </c>
      <c r="C157" s="2">
        <v>684</v>
      </c>
      <c r="D157" s="2">
        <v>8.44</v>
      </c>
    </row>
    <row r="158" spans="1:4" x14ac:dyDescent="0.3">
      <c r="A158" s="23" t="s">
        <v>56</v>
      </c>
      <c r="B158" s="2">
        <v>35359</v>
      </c>
      <c r="C158" s="2">
        <v>911</v>
      </c>
      <c r="D158" s="2">
        <v>7.74</v>
      </c>
    </row>
    <row r="159" spans="1:4" x14ac:dyDescent="0.3">
      <c r="A159" s="23" t="s">
        <v>58</v>
      </c>
      <c r="B159" s="2">
        <v>14154</v>
      </c>
      <c r="C159" s="2">
        <v>1589</v>
      </c>
      <c r="D159" s="2">
        <v>2.89</v>
      </c>
    </row>
    <row r="160" spans="1:4" x14ac:dyDescent="0.3">
      <c r="A160" s="22">
        <v>45656</v>
      </c>
      <c r="B160" s="2">
        <v>78502</v>
      </c>
      <c r="C160" s="2">
        <v>6530</v>
      </c>
      <c r="D160" s="2">
        <v>14.01</v>
      </c>
    </row>
    <row r="161" spans="1:4" x14ac:dyDescent="0.3">
      <c r="A161" s="23" t="s">
        <v>57</v>
      </c>
      <c r="B161" s="2">
        <v>25140</v>
      </c>
      <c r="C161" s="2">
        <v>1776</v>
      </c>
      <c r="D161" s="2">
        <v>3.09</v>
      </c>
    </row>
    <row r="162" spans="1:4" x14ac:dyDescent="0.3">
      <c r="A162" s="23" t="s">
        <v>3</v>
      </c>
      <c r="B162" s="2">
        <v>4313</v>
      </c>
      <c r="C162" s="2">
        <v>1765</v>
      </c>
      <c r="D162" s="2">
        <v>1.76</v>
      </c>
    </row>
    <row r="163" spans="1:4" x14ac:dyDescent="0.3">
      <c r="A163" s="23" t="s">
        <v>56</v>
      </c>
      <c r="B163" s="2">
        <v>9118</v>
      </c>
      <c r="C163" s="2">
        <v>1529</v>
      </c>
      <c r="D163" s="2">
        <v>4.68</v>
      </c>
    </row>
    <row r="164" spans="1:4" x14ac:dyDescent="0.3">
      <c r="A164" s="23" t="s">
        <v>58</v>
      </c>
      <c r="B164" s="2">
        <v>39931</v>
      </c>
      <c r="C164" s="2">
        <v>1460</v>
      </c>
      <c r="D164" s="2">
        <v>4.4800000000000004</v>
      </c>
    </row>
    <row r="165" spans="1:4" x14ac:dyDescent="0.3">
      <c r="A165" s="18" t="s">
        <v>36</v>
      </c>
      <c r="B165" s="19">
        <v>1798077</v>
      </c>
      <c r="C165" s="19">
        <v>61864</v>
      </c>
      <c r="D165" s="19">
        <v>424.37000000000006</v>
      </c>
    </row>
    <row r="166" spans="1:4" x14ac:dyDescent="0.3">
      <c r="A166" s="20" t="s">
        <v>73</v>
      </c>
      <c r="B166" s="21">
        <v>415663</v>
      </c>
      <c r="C166" s="21">
        <v>13331</v>
      </c>
      <c r="D166" s="21">
        <v>83.800000000000011</v>
      </c>
    </row>
    <row r="167" spans="1:4" x14ac:dyDescent="0.3">
      <c r="A167" s="22">
        <v>45663</v>
      </c>
      <c r="B167" s="2">
        <v>72926</v>
      </c>
      <c r="C167" s="2">
        <v>3557</v>
      </c>
      <c r="D167" s="2">
        <v>24.05</v>
      </c>
    </row>
    <row r="168" spans="1:4" x14ac:dyDescent="0.3">
      <c r="A168" s="23" t="s">
        <v>57</v>
      </c>
      <c r="B168" s="2">
        <v>17951</v>
      </c>
      <c r="C168" s="2">
        <v>620</v>
      </c>
      <c r="D168" s="2">
        <v>8.1999999999999993</v>
      </c>
    </row>
    <row r="169" spans="1:4" x14ac:dyDescent="0.3">
      <c r="A169" s="23" t="s">
        <v>3</v>
      </c>
      <c r="B169" s="2">
        <v>37132</v>
      </c>
      <c r="C169" s="2">
        <v>903</v>
      </c>
      <c r="D169" s="2">
        <v>5.3</v>
      </c>
    </row>
    <row r="170" spans="1:4" x14ac:dyDescent="0.3">
      <c r="A170" s="23" t="s">
        <v>56</v>
      </c>
      <c r="B170" s="2">
        <v>2798</v>
      </c>
      <c r="C170" s="2">
        <v>1188</v>
      </c>
      <c r="D170" s="2">
        <v>2.2200000000000002</v>
      </c>
    </row>
    <row r="171" spans="1:4" x14ac:dyDescent="0.3">
      <c r="A171" s="23" t="s">
        <v>58</v>
      </c>
      <c r="B171" s="2">
        <v>15045</v>
      </c>
      <c r="C171" s="2">
        <v>846</v>
      </c>
      <c r="D171" s="2">
        <v>8.33</v>
      </c>
    </row>
    <row r="172" spans="1:4" x14ac:dyDescent="0.3">
      <c r="A172" s="22">
        <v>45670</v>
      </c>
      <c r="B172" s="2">
        <v>113474</v>
      </c>
      <c r="C172" s="2">
        <v>2777</v>
      </c>
      <c r="D172" s="2">
        <v>14.760000000000002</v>
      </c>
    </row>
    <row r="173" spans="1:4" x14ac:dyDescent="0.3">
      <c r="A173" s="23" t="s">
        <v>57</v>
      </c>
      <c r="B173" s="2">
        <v>45708</v>
      </c>
      <c r="C173" s="2">
        <v>298</v>
      </c>
      <c r="D173" s="2">
        <v>5.61</v>
      </c>
    </row>
    <row r="174" spans="1:4" x14ac:dyDescent="0.3">
      <c r="A174" s="23" t="s">
        <v>3</v>
      </c>
      <c r="B174" s="2">
        <v>14548</v>
      </c>
      <c r="C174" s="2">
        <v>1722</v>
      </c>
      <c r="D174" s="2">
        <v>3.3</v>
      </c>
    </row>
    <row r="175" spans="1:4" x14ac:dyDescent="0.3">
      <c r="A175" s="23" t="s">
        <v>56</v>
      </c>
      <c r="B175" s="2">
        <v>12350</v>
      </c>
      <c r="C175" s="2">
        <v>-144</v>
      </c>
      <c r="D175" s="2">
        <v>2.56</v>
      </c>
    </row>
    <row r="176" spans="1:4" x14ac:dyDescent="0.3">
      <c r="A176" s="23" t="s">
        <v>58</v>
      </c>
      <c r="B176" s="2">
        <v>40868</v>
      </c>
      <c r="C176" s="2">
        <v>901</v>
      </c>
      <c r="D176" s="2">
        <v>3.29</v>
      </c>
    </row>
    <row r="177" spans="1:4" x14ac:dyDescent="0.3">
      <c r="A177" s="22">
        <v>45677</v>
      </c>
      <c r="B177" s="2">
        <v>120060</v>
      </c>
      <c r="C177" s="2">
        <v>3614</v>
      </c>
      <c r="D177" s="2">
        <v>23.66</v>
      </c>
    </row>
    <row r="178" spans="1:4" x14ac:dyDescent="0.3">
      <c r="A178" s="23" t="s">
        <v>57</v>
      </c>
      <c r="B178" s="2">
        <v>23853</v>
      </c>
      <c r="C178" s="2">
        <v>427</v>
      </c>
      <c r="D178" s="2">
        <v>4.51</v>
      </c>
    </row>
    <row r="179" spans="1:4" x14ac:dyDescent="0.3">
      <c r="A179" s="23" t="s">
        <v>3</v>
      </c>
      <c r="B179" s="2">
        <v>43122</v>
      </c>
      <c r="C179" s="2">
        <v>1572</v>
      </c>
      <c r="D179" s="2">
        <v>9.24</v>
      </c>
    </row>
    <row r="180" spans="1:4" x14ac:dyDescent="0.3">
      <c r="A180" s="23" t="s">
        <v>56</v>
      </c>
      <c r="B180" s="2">
        <v>45380</v>
      </c>
      <c r="C180" s="2">
        <v>891</v>
      </c>
      <c r="D180" s="2">
        <v>5.23</v>
      </c>
    </row>
    <row r="181" spans="1:4" x14ac:dyDescent="0.3">
      <c r="A181" s="23" t="s">
        <v>58</v>
      </c>
      <c r="B181" s="2">
        <v>7705</v>
      </c>
      <c r="C181" s="2">
        <v>724</v>
      </c>
      <c r="D181" s="2">
        <v>4.68</v>
      </c>
    </row>
    <row r="182" spans="1:4" x14ac:dyDescent="0.3">
      <c r="A182" s="22">
        <v>45684</v>
      </c>
      <c r="B182" s="2">
        <v>109203</v>
      </c>
      <c r="C182" s="2">
        <v>3383</v>
      </c>
      <c r="D182" s="2">
        <v>21.33</v>
      </c>
    </row>
    <row r="183" spans="1:4" x14ac:dyDescent="0.3">
      <c r="A183" s="23" t="s">
        <v>57</v>
      </c>
      <c r="B183" s="2">
        <v>20560</v>
      </c>
      <c r="C183" s="2">
        <v>898</v>
      </c>
      <c r="D183" s="2">
        <v>6.37</v>
      </c>
    </row>
    <row r="184" spans="1:4" x14ac:dyDescent="0.3">
      <c r="A184" s="23" t="s">
        <v>3</v>
      </c>
      <c r="B184" s="2">
        <v>25525</v>
      </c>
      <c r="C184" s="2">
        <v>-166</v>
      </c>
      <c r="D184" s="2">
        <v>9.23</v>
      </c>
    </row>
    <row r="185" spans="1:4" x14ac:dyDescent="0.3">
      <c r="A185" s="23" t="s">
        <v>56</v>
      </c>
      <c r="B185" s="2">
        <v>19119</v>
      </c>
      <c r="C185" s="2">
        <v>1426</v>
      </c>
      <c r="D185" s="2">
        <v>2.0099999999999998</v>
      </c>
    </row>
    <row r="186" spans="1:4" x14ac:dyDescent="0.3">
      <c r="A186" s="23" t="s">
        <v>58</v>
      </c>
      <c r="B186" s="2">
        <v>43999</v>
      </c>
      <c r="C186" s="2">
        <v>1225</v>
      </c>
      <c r="D186" s="2">
        <v>3.72</v>
      </c>
    </row>
    <row r="187" spans="1:4" x14ac:dyDescent="0.3">
      <c r="A187" s="20" t="s">
        <v>75</v>
      </c>
      <c r="B187" s="21">
        <v>468364</v>
      </c>
      <c r="C187" s="21">
        <v>15974</v>
      </c>
      <c r="D187" s="21">
        <v>103.33999999999999</v>
      </c>
    </row>
    <row r="188" spans="1:4" x14ac:dyDescent="0.3">
      <c r="A188" s="22">
        <v>45691</v>
      </c>
      <c r="B188" s="2">
        <v>117419</v>
      </c>
      <c r="C188" s="2">
        <v>2194</v>
      </c>
      <c r="D188" s="2">
        <v>29.02</v>
      </c>
    </row>
    <row r="189" spans="1:4" x14ac:dyDescent="0.3">
      <c r="A189" s="23" t="s">
        <v>57</v>
      </c>
      <c r="B189" s="2">
        <v>40323</v>
      </c>
      <c r="C189" s="2">
        <v>748</v>
      </c>
      <c r="D189" s="2">
        <v>8.6999999999999993</v>
      </c>
    </row>
    <row r="190" spans="1:4" x14ac:dyDescent="0.3">
      <c r="A190" s="23" t="s">
        <v>3</v>
      </c>
      <c r="B190" s="2">
        <v>10825</v>
      </c>
      <c r="C190" s="2">
        <v>1080</v>
      </c>
      <c r="D190" s="2">
        <v>3.89</v>
      </c>
    </row>
    <row r="191" spans="1:4" x14ac:dyDescent="0.3">
      <c r="A191" s="23" t="s">
        <v>56</v>
      </c>
      <c r="B191" s="2">
        <v>48270</v>
      </c>
      <c r="C191" s="2">
        <v>569</v>
      </c>
      <c r="D191" s="2">
        <v>6.95</v>
      </c>
    </row>
    <row r="192" spans="1:4" x14ac:dyDescent="0.3">
      <c r="A192" s="23" t="s">
        <v>58</v>
      </c>
      <c r="B192" s="2">
        <v>18001</v>
      </c>
      <c r="C192" s="2">
        <v>-203</v>
      </c>
      <c r="D192" s="2">
        <v>9.48</v>
      </c>
    </row>
    <row r="193" spans="1:4" x14ac:dyDescent="0.3">
      <c r="A193" s="22">
        <v>45698</v>
      </c>
      <c r="B193" s="2">
        <v>94129</v>
      </c>
      <c r="C193" s="2">
        <v>5281</v>
      </c>
      <c r="D193" s="2">
        <v>28.660000000000004</v>
      </c>
    </row>
    <row r="194" spans="1:4" x14ac:dyDescent="0.3">
      <c r="A194" s="23" t="s">
        <v>57</v>
      </c>
      <c r="B194" s="2">
        <v>23489</v>
      </c>
      <c r="C194" s="2">
        <v>912</v>
      </c>
      <c r="D194" s="2">
        <v>8.0299999999999994</v>
      </c>
    </row>
    <row r="195" spans="1:4" x14ac:dyDescent="0.3">
      <c r="A195" s="23" t="s">
        <v>3</v>
      </c>
      <c r="B195" s="2">
        <v>3314</v>
      </c>
      <c r="C195" s="2">
        <v>1723</v>
      </c>
      <c r="D195" s="2">
        <v>4.6100000000000003</v>
      </c>
    </row>
    <row r="196" spans="1:4" x14ac:dyDescent="0.3">
      <c r="A196" s="23" t="s">
        <v>56</v>
      </c>
      <c r="B196" s="2">
        <v>42832</v>
      </c>
      <c r="C196" s="2">
        <v>1202</v>
      </c>
      <c r="D196" s="2">
        <v>6.99</v>
      </c>
    </row>
    <row r="197" spans="1:4" x14ac:dyDescent="0.3">
      <c r="A197" s="23" t="s">
        <v>58</v>
      </c>
      <c r="B197" s="2">
        <v>24494</v>
      </c>
      <c r="C197" s="2">
        <v>1444</v>
      </c>
      <c r="D197" s="2">
        <v>9.0299999999999994</v>
      </c>
    </row>
    <row r="198" spans="1:4" x14ac:dyDescent="0.3">
      <c r="A198" s="22">
        <v>45705</v>
      </c>
      <c r="B198" s="2">
        <v>136582</v>
      </c>
      <c r="C198" s="2">
        <v>3693</v>
      </c>
      <c r="D198" s="2">
        <v>23.09</v>
      </c>
    </row>
    <row r="199" spans="1:4" x14ac:dyDescent="0.3">
      <c r="A199" s="23" t="s">
        <v>57</v>
      </c>
      <c r="B199" s="2">
        <v>31853</v>
      </c>
      <c r="C199" s="2">
        <v>1590</v>
      </c>
      <c r="D199" s="2">
        <v>3.85</v>
      </c>
    </row>
    <row r="200" spans="1:4" x14ac:dyDescent="0.3">
      <c r="A200" s="23" t="s">
        <v>3</v>
      </c>
      <c r="B200" s="2">
        <v>44097</v>
      </c>
      <c r="C200" s="2">
        <v>965</v>
      </c>
      <c r="D200" s="2">
        <v>2.86</v>
      </c>
    </row>
    <row r="201" spans="1:4" x14ac:dyDescent="0.3">
      <c r="A201" s="23" t="s">
        <v>56</v>
      </c>
      <c r="B201" s="2">
        <v>37636</v>
      </c>
      <c r="C201" s="2">
        <v>-37</v>
      </c>
      <c r="D201" s="2">
        <v>7.3</v>
      </c>
    </row>
    <row r="202" spans="1:4" x14ac:dyDescent="0.3">
      <c r="A202" s="23" t="s">
        <v>58</v>
      </c>
      <c r="B202" s="2">
        <v>22996</v>
      </c>
      <c r="C202" s="2">
        <v>1175</v>
      </c>
      <c r="D202" s="2">
        <v>9.08</v>
      </c>
    </row>
    <row r="203" spans="1:4" x14ac:dyDescent="0.3">
      <c r="A203" s="22">
        <v>45712</v>
      </c>
      <c r="B203" s="2">
        <v>120234</v>
      </c>
      <c r="C203" s="2">
        <v>4806</v>
      </c>
      <c r="D203" s="2">
        <v>22.57</v>
      </c>
    </row>
    <row r="204" spans="1:4" x14ac:dyDescent="0.3">
      <c r="A204" s="23" t="s">
        <v>57</v>
      </c>
      <c r="B204" s="2">
        <v>22713</v>
      </c>
      <c r="C204" s="2">
        <v>1707</v>
      </c>
      <c r="D204" s="2">
        <v>7.8</v>
      </c>
    </row>
    <row r="205" spans="1:4" x14ac:dyDescent="0.3">
      <c r="A205" s="23" t="s">
        <v>3</v>
      </c>
      <c r="B205" s="2">
        <v>49772</v>
      </c>
      <c r="C205" s="2">
        <v>1375</v>
      </c>
      <c r="D205" s="2">
        <v>4.34</v>
      </c>
    </row>
    <row r="206" spans="1:4" x14ac:dyDescent="0.3">
      <c r="A206" s="23" t="s">
        <v>56</v>
      </c>
      <c r="B206" s="2">
        <v>8718</v>
      </c>
      <c r="C206" s="2">
        <v>708</v>
      </c>
      <c r="D206" s="2">
        <v>3.85</v>
      </c>
    </row>
    <row r="207" spans="1:4" x14ac:dyDescent="0.3">
      <c r="A207" s="23" t="s">
        <v>58</v>
      </c>
      <c r="B207" s="2">
        <v>39031</v>
      </c>
      <c r="C207" s="2">
        <v>1016</v>
      </c>
      <c r="D207" s="2">
        <v>6.58</v>
      </c>
    </row>
    <row r="208" spans="1:4" x14ac:dyDescent="0.3">
      <c r="A208" s="20" t="s">
        <v>79</v>
      </c>
      <c r="B208" s="21">
        <v>423771</v>
      </c>
      <c r="C208" s="21">
        <v>16078</v>
      </c>
      <c r="D208" s="21">
        <v>127.28</v>
      </c>
    </row>
    <row r="209" spans="1:4" x14ac:dyDescent="0.3">
      <c r="A209" s="22">
        <v>45719</v>
      </c>
      <c r="B209" s="2">
        <v>95341</v>
      </c>
      <c r="C209" s="2">
        <v>2410</v>
      </c>
      <c r="D209" s="2">
        <v>30.9</v>
      </c>
    </row>
    <row r="210" spans="1:4" x14ac:dyDescent="0.3">
      <c r="A210" s="23" t="s">
        <v>57</v>
      </c>
      <c r="B210" s="2">
        <v>20553</v>
      </c>
      <c r="C210" s="2">
        <v>-119</v>
      </c>
      <c r="D210" s="2">
        <v>4.55</v>
      </c>
    </row>
    <row r="211" spans="1:4" x14ac:dyDescent="0.3">
      <c r="A211" s="23" t="s">
        <v>3</v>
      </c>
      <c r="B211" s="2">
        <v>33799</v>
      </c>
      <c r="C211" s="2">
        <v>1315</v>
      </c>
      <c r="D211" s="2">
        <v>8.6199999999999992</v>
      </c>
    </row>
    <row r="212" spans="1:4" x14ac:dyDescent="0.3">
      <c r="A212" s="23" t="s">
        <v>56</v>
      </c>
      <c r="B212" s="2">
        <v>10002</v>
      </c>
      <c r="C212" s="2">
        <v>899</v>
      </c>
      <c r="D212" s="2">
        <v>8.33</v>
      </c>
    </row>
    <row r="213" spans="1:4" x14ac:dyDescent="0.3">
      <c r="A213" s="23" t="s">
        <v>58</v>
      </c>
      <c r="B213" s="2">
        <v>30987</v>
      </c>
      <c r="C213" s="2">
        <v>315</v>
      </c>
      <c r="D213" s="2">
        <v>9.4</v>
      </c>
    </row>
    <row r="214" spans="1:4" x14ac:dyDescent="0.3">
      <c r="A214" s="22">
        <v>45726</v>
      </c>
      <c r="B214" s="2">
        <v>53940</v>
      </c>
      <c r="C214" s="2">
        <v>3712</v>
      </c>
      <c r="D214" s="2">
        <v>27.85</v>
      </c>
    </row>
    <row r="215" spans="1:4" x14ac:dyDescent="0.3">
      <c r="A215" s="23" t="s">
        <v>57</v>
      </c>
      <c r="B215" s="2">
        <v>21539</v>
      </c>
      <c r="C215" s="2">
        <v>908</v>
      </c>
      <c r="D215" s="2">
        <v>9.39</v>
      </c>
    </row>
    <row r="216" spans="1:4" x14ac:dyDescent="0.3">
      <c r="A216" s="23" t="s">
        <v>3</v>
      </c>
      <c r="B216" s="2">
        <v>6296</v>
      </c>
      <c r="C216" s="2">
        <v>212</v>
      </c>
      <c r="D216" s="2">
        <v>7.23</v>
      </c>
    </row>
    <row r="217" spans="1:4" x14ac:dyDescent="0.3">
      <c r="A217" s="23" t="s">
        <v>56</v>
      </c>
      <c r="B217" s="2">
        <v>14722</v>
      </c>
      <c r="C217" s="2">
        <v>1350</v>
      </c>
      <c r="D217" s="2">
        <v>5.12</v>
      </c>
    </row>
    <row r="218" spans="1:4" x14ac:dyDescent="0.3">
      <c r="A218" s="23" t="s">
        <v>58</v>
      </c>
      <c r="B218" s="2">
        <v>11383</v>
      </c>
      <c r="C218" s="2">
        <v>1242</v>
      </c>
      <c r="D218" s="2">
        <v>6.11</v>
      </c>
    </row>
    <row r="219" spans="1:4" x14ac:dyDescent="0.3">
      <c r="A219" s="22">
        <v>45733</v>
      </c>
      <c r="B219" s="2">
        <v>88465</v>
      </c>
      <c r="C219" s="2">
        <v>4042</v>
      </c>
      <c r="D219" s="2">
        <v>23.12</v>
      </c>
    </row>
    <row r="220" spans="1:4" x14ac:dyDescent="0.3">
      <c r="A220" s="23" t="s">
        <v>57</v>
      </c>
      <c r="B220" s="2">
        <v>29116</v>
      </c>
      <c r="C220" s="2">
        <v>1116</v>
      </c>
      <c r="D220" s="2">
        <v>4.9400000000000004</v>
      </c>
    </row>
    <row r="221" spans="1:4" x14ac:dyDescent="0.3">
      <c r="A221" s="23" t="s">
        <v>3</v>
      </c>
      <c r="B221" s="2">
        <v>9480</v>
      </c>
      <c r="C221" s="2">
        <v>680</v>
      </c>
      <c r="D221" s="2">
        <v>7.74</v>
      </c>
    </row>
    <row r="222" spans="1:4" x14ac:dyDescent="0.3">
      <c r="A222" s="23" t="s">
        <v>56</v>
      </c>
      <c r="B222" s="2">
        <v>14068</v>
      </c>
      <c r="C222" s="2">
        <v>861</v>
      </c>
      <c r="D222" s="2">
        <v>1.8</v>
      </c>
    </row>
    <row r="223" spans="1:4" x14ac:dyDescent="0.3">
      <c r="A223" s="23" t="s">
        <v>58</v>
      </c>
      <c r="B223" s="2">
        <v>35801</v>
      </c>
      <c r="C223" s="2">
        <v>1385</v>
      </c>
      <c r="D223" s="2">
        <v>8.64</v>
      </c>
    </row>
    <row r="224" spans="1:4" x14ac:dyDescent="0.3">
      <c r="A224" s="22">
        <v>45740</v>
      </c>
      <c r="B224" s="2">
        <v>111650</v>
      </c>
      <c r="C224" s="2">
        <v>1616</v>
      </c>
      <c r="D224" s="2">
        <v>17.45</v>
      </c>
    </row>
    <row r="225" spans="1:4" x14ac:dyDescent="0.3">
      <c r="A225" s="23" t="s">
        <v>57</v>
      </c>
      <c r="B225" s="2">
        <v>21453</v>
      </c>
      <c r="C225" s="2">
        <v>474</v>
      </c>
      <c r="D225" s="2">
        <v>8.52</v>
      </c>
    </row>
    <row r="226" spans="1:4" x14ac:dyDescent="0.3">
      <c r="A226" s="23" t="s">
        <v>3</v>
      </c>
      <c r="B226" s="2">
        <v>49077</v>
      </c>
      <c r="C226" s="2">
        <v>461</v>
      </c>
      <c r="D226" s="2">
        <v>1.53</v>
      </c>
    </row>
    <row r="227" spans="1:4" x14ac:dyDescent="0.3">
      <c r="A227" s="23" t="s">
        <v>56</v>
      </c>
      <c r="B227" s="2">
        <v>21061</v>
      </c>
      <c r="C227" s="2">
        <v>292</v>
      </c>
      <c r="D227" s="2">
        <v>5.53</v>
      </c>
    </row>
    <row r="228" spans="1:4" x14ac:dyDescent="0.3">
      <c r="A228" s="23" t="s">
        <v>58</v>
      </c>
      <c r="B228" s="2">
        <v>20059</v>
      </c>
      <c r="C228" s="2">
        <v>389</v>
      </c>
      <c r="D228" s="2">
        <v>1.87</v>
      </c>
    </row>
    <row r="229" spans="1:4" x14ac:dyDescent="0.3">
      <c r="A229" s="22">
        <v>45747</v>
      </c>
      <c r="B229" s="2">
        <v>74375</v>
      </c>
      <c r="C229" s="2">
        <v>4298</v>
      </c>
      <c r="D229" s="2">
        <v>27.96</v>
      </c>
    </row>
    <row r="230" spans="1:4" x14ac:dyDescent="0.3">
      <c r="A230" s="23" t="s">
        <v>57</v>
      </c>
      <c r="B230" s="2">
        <v>23461</v>
      </c>
      <c r="C230" s="2">
        <v>514</v>
      </c>
      <c r="D230" s="2">
        <v>9.4600000000000009</v>
      </c>
    </row>
    <row r="231" spans="1:4" x14ac:dyDescent="0.3">
      <c r="A231" s="23" t="s">
        <v>3</v>
      </c>
      <c r="B231" s="2">
        <v>23140</v>
      </c>
      <c r="C231" s="2">
        <v>641</v>
      </c>
      <c r="D231" s="2">
        <v>6.27</v>
      </c>
    </row>
    <row r="232" spans="1:4" x14ac:dyDescent="0.3">
      <c r="A232" s="23" t="s">
        <v>56</v>
      </c>
      <c r="B232" s="2">
        <v>11805</v>
      </c>
      <c r="C232" s="2">
        <v>1676</v>
      </c>
      <c r="D232" s="2">
        <v>7.5</v>
      </c>
    </row>
    <row r="233" spans="1:4" x14ac:dyDescent="0.3">
      <c r="A233" s="23" t="s">
        <v>58</v>
      </c>
      <c r="B233" s="2">
        <v>15969</v>
      </c>
      <c r="C233" s="2">
        <v>1467</v>
      </c>
      <c r="D233" s="2">
        <v>4.7300000000000004</v>
      </c>
    </row>
    <row r="234" spans="1:4" x14ac:dyDescent="0.3">
      <c r="A234" s="20" t="s">
        <v>81</v>
      </c>
      <c r="B234" s="21">
        <v>299166</v>
      </c>
      <c r="C234" s="21">
        <v>9892</v>
      </c>
      <c r="D234" s="21">
        <v>69.309999999999988</v>
      </c>
    </row>
    <row r="235" spans="1:4" x14ac:dyDescent="0.3">
      <c r="A235" s="22">
        <v>45754</v>
      </c>
      <c r="B235" s="2">
        <v>132926</v>
      </c>
      <c r="C235" s="2">
        <v>2412</v>
      </c>
      <c r="D235" s="2">
        <v>16.670000000000002</v>
      </c>
    </row>
    <row r="236" spans="1:4" x14ac:dyDescent="0.3">
      <c r="A236" s="23" t="s">
        <v>57</v>
      </c>
      <c r="B236" s="2">
        <v>47603</v>
      </c>
      <c r="C236" s="2">
        <v>1029</v>
      </c>
      <c r="D236" s="2">
        <v>2.4900000000000002</v>
      </c>
    </row>
    <row r="237" spans="1:4" x14ac:dyDescent="0.3">
      <c r="A237" s="23" t="s">
        <v>3</v>
      </c>
      <c r="B237" s="2">
        <v>2436</v>
      </c>
      <c r="C237" s="2">
        <v>167</v>
      </c>
      <c r="D237" s="2">
        <v>3.19</v>
      </c>
    </row>
    <row r="238" spans="1:4" x14ac:dyDescent="0.3">
      <c r="A238" s="23" t="s">
        <v>56</v>
      </c>
      <c r="B238" s="2">
        <v>42964</v>
      </c>
      <c r="C238" s="2">
        <v>1007</v>
      </c>
      <c r="D238" s="2">
        <v>4.5</v>
      </c>
    </row>
    <row r="239" spans="1:4" x14ac:dyDescent="0.3">
      <c r="A239" s="23" t="s">
        <v>58</v>
      </c>
      <c r="B239" s="2">
        <v>39923</v>
      </c>
      <c r="C239" s="2">
        <v>209</v>
      </c>
      <c r="D239" s="2">
        <v>6.49</v>
      </c>
    </row>
    <row r="240" spans="1:4" x14ac:dyDescent="0.3">
      <c r="A240" s="22">
        <v>45761</v>
      </c>
      <c r="B240" s="2">
        <v>59981</v>
      </c>
      <c r="C240" s="2">
        <v>-137</v>
      </c>
      <c r="D240" s="2">
        <v>23.4</v>
      </c>
    </row>
    <row r="241" spans="1:4" x14ac:dyDescent="0.3">
      <c r="A241" s="23" t="s">
        <v>57</v>
      </c>
      <c r="B241" s="2">
        <v>25920</v>
      </c>
      <c r="C241" s="2">
        <v>-175</v>
      </c>
      <c r="D241" s="2">
        <v>4.83</v>
      </c>
    </row>
    <row r="242" spans="1:4" x14ac:dyDescent="0.3">
      <c r="A242" s="23" t="s">
        <v>3</v>
      </c>
      <c r="B242" s="2">
        <v>2293</v>
      </c>
      <c r="C242" s="2">
        <v>-160</v>
      </c>
      <c r="D242" s="2">
        <v>6.73</v>
      </c>
    </row>
    <row r="243" spans="1:4" x14ac:dyDescent="0.3">
      <c r="A243" s="23" t="s">
        <v>56</v>
      </c>
      <c r="B243" s="2">
        <v>11035</v>
      </c>
      <c r="C243" s="2">
        <v>53</v>
      </c>
      <c r="D243" s="2">
        <v>5.3</v>
      </c>
    </row>
    <row r="244" spans="1:4" x14ac:dyDescent="0.3">
      <c r="A244" s="23" t="s">
        <v>58</v>
      </c>
      <c r="B244" s="2">
        <v>20733</v>
      </c>
      <c r="C244" s="2">
        <v>145</v>
      </c>
      <c r="D244" s="2">
        <v>6.54</v>
      </c>
    </row>
    <row r="245" spans="1:4" x14ac:dyDescent="0.3">
      <c r="A245" s="22">
        <v>45768</v>
      </c>
      <c r="B245" s="2">
        <v>49129</v>
      </c>
      <c r="C245" s="2">
        <v>4040</v>
      </c>
      <c r="D245" s="2">
        <v>14.93</v>
      </c>
    </row>
    <row r="246" spans="1:4" x14ac:dyDescent="0.3">
      <c r="A246" s="23" t="s">
        <v>57</v>
      </c>
      <c r="B246" s="2">
        <v>7875</v>
      </c>
      <c r="C246" s="2">
        <v>1045</v>
      </c>
      <c r="D246" s="2">
        <v>2.6</v>
      </c>
    </row>
    <row r="247" spans="1:4" x14ac:dyDescent="0.3">
      <c r="A247" s="23" t="s">
        <v>3</v>
      </c>
      <c r="B247" s="2">
        <v>18693</v>
      </c>
      <c r="C247" s="2">
        <v>603</v>
      </c>
      <c r="D247" s="2">
        <v>6.8</v>
      </c>
    </row>
    <row r="248" spans="1:4" x14ac:dyDescent="0.3">
      <c r="A248" s="23" t="s">
        <v>56</v>
      </c>
      <c r="B248" s="2">
        <v>8471</v>
      </c>
      <c r="C248" s="2">
        <v>759</v>
      </c>
      <c r="D248" s="2">
        <v>2.44</v>
      </c>
    </row>
    <row r="249" spans="1:4" x14ac:dyDescent="0.3">
      <c r="A249" s="23" t="s">
        <v>58</v>
      </c>
      <c r="B249" s="2">
        <v>14090</v>
      </c>
      <c r="C249" s="2">
        <v>1633</v>
      </c>
      <c r="D249" s="2">
        <v>3.09</v>
      </c>
    </row>
    <row r="250" spans="1:4" x14ac:dyDescent="0.3">
      <c r="A250" s="22">
        <v>45775</v>
      </c>
      <c r="B250" s="2">
        <v>57130</v>
      </c>
      <c r="C250" s="2">
        <v>3577</v>
      </c>
      <c r="D250" s="2">
        <v>14.31</v>
      </c>
    </row>
    <row r="251" spans="1:4" x14ac:dyDescent="0.3">
      <c r="A251" s="23" t="s">
        <v>57</v>
      </c>
      <c r="B251" s="2">
        <v>3582</v>
      </c>
      <c r="C251" s="2">
        <v>453</v>
      </c>
      <c r="D251" s="2">
        <v>3.86</v>
      </c>
    </row>
    <row r="252" spans="1:4" x14ac:dyDescent="0.3">
      <c r="A252" s="23" t="s">
        <v>3</v>
      </c>
      <c r="B252" s="2">
        <v>14216</v>
      </c>
      <c r="C252" s="2">
        <v>1539</v>
      </c>
      <c r="D252" s="2">
        <v>5.69</v>
      </c>
    </row>
    <row r="253" spans="1:4" x14ac:dyDescent="0.3">
      <c r="A253" s="23" t="s">
        <v>56</v>
      </c>
      <c r="B253" s="2">
        <v>32500</v>
      </c>
      <c r="C253" s="2">
        <v>948</v>
      </c>
      <c r="D253" s="2">
        <v>3.16</v>
      </c>
    </row>
    <row r="254" spans="1:4" x14ac:dyDescent="0.3">
      <c r="A254" s="23" t="s">
        <v>58</v>
      </c>
      <c r="B254" s="2">
        <v>6832</v>
      </c>
      <c r="C254" s="2">
        <v>637</v>
      </c>
      <c r="D254" s="2">
        <v>1.6</v>
      </c>
    </row>
    <row r="255" spans="1:4" x14ac:dyDescent="0.3">
      <c r="A255" s="20" t="s">
        <v>82</v>
      </c>
      <c r="B255" s="21">
        <v>191113</v>
      </c>
      <c r="C255" s="21">
        <v>6589</v>
      </c>
      <c r="D255" s="21">
        <v>40.64</v>
      </c>
    </row>
    <row r="256" spans="1:4" x14ac:dyDescent="0.3">
      <c r="A256" s="22">
        <v>45782</v>
      </c>
      <c r="B256" s="2">
        <v>105490</v>
      </c>
      <c r="C256" s="2">
        <v>4594</v>
      </c>
      <c r="D256" s="2">
        <v>20.440000000000001</v>
      </c>
    </row>
    <row r="257" spans="1:4" x14ac:dyDescent="0.3">
      <c r="A257" s="23" t="s">
        <v>57</v>
      </c>
      <c r="B257" s="2">
        <v>48419</v>
      </c>
      <c r="C257" s="2">
        <v>339</v>
      </c>
      <c r="D257" s="2">
        <v>5.59</v>
      </c>
    </row>
    <row r="258" spans="1:4" x14ac:dyDescent="0.3">
      <c r="A258" s="23" t="s">
        <v>3</v>
      </c>
      <c r="B258" s="2">
        <v>33381</v>
      </c>
      <c r="C258" s="2">
        <v>1881</v>
      </c>
      <c r="D258" s="2">
        <v>6.09</v>
      </c>
    </row>
    <row r="259" spans="1:4" x14ac:dyDescent="0.3">
      <c r="A259" s="23" t="s">
        <v>56</v>
      </c>
      <c r="B259" s="2">
        <v>16149</v>
      </c>
      <c r="C259" s="2">
        <v>1510</v>
      </c>
      <c r="D259" s="2">
        <v>3.55</v>
      </c>
    </row>
    <row r="260" spans="1:4" x14ac:dyDescent="0.3">
      <c r="A260" s="23" t="s">
        <v>58</v>
      </c>
      <c r="B260" s="2">
        <v>7541</v>
      </c>
      <c r="C260" s="2">
        <v>864</v>
      </c>
      <c r="D260" s="2">
        <v>5.21</v>
      </c>
    </row>
    <row r="261" spans="1:4" x14ac:dyDescent="0.3">
      <c r="A261" s="22">
        <v>45789</v>
      </c>
      <c r="B261" s="2">
        <v>85623</v>
      </c>
      <c r="C261" s="2">
        <v>1995</v>
      </c>
      <c r="D261" s="2">
        <v>20.2</v>
      </c>
    </row>
    <row r="262" spans="1:4" x14ac:dyDescent="0.3">
      <c r="A262" s="23" t="s">
        <v>57</v>
      </c>
      <c r="B262" s="2">
        <v>49400</v>
      </c>
      <c r="C262" s="2">
        <v>407</v>
      </c>
      <c r="D262" s="2">
        <v>4</v>
      </c>
    </row>
    <row r="263" spans="1:4" x14ac:dyDescent="0.3">
      <c r="A263" s="23" t="s">
        <v>3</v>
      </c>
      <c r="B263" s="2">
        <v>20042</v>
      </c>
      <c r="C263" s="2">
        <v>1656</v>
      </c>
      <c r="D263" s="2">
        <v>1.82</v>
      </c>
    </row>
    <row r="264" spans="1:4" x14ac:dyDescent="0.3">
      <c r="A264" s="23" t="s">
        <v>56</v>
      </c>
      <c r="B264" s="2">
        <v>4007</v>
      </c>
      <c r="C264" s="2">
        <v>269</v>
      </c>
      <c r="D264" s="2">
        <v>7.57</v>
      </c>
    </row>
    <row r="265" spans="1:4" x14ac:dyDescent="0.3">
      <c r="A265" s="23" t="s">
        <v>58</v>
      </c>
      <c r="B265" s="2">
        <v>12174</v>
      </c>
      <c r="C265" s="2">
        <v>-337</v>
      </c>
      <c r="D265" s="2">
        <v>6.81</v>
      </c>
    </row>
    <row r="266" spans="1:4" x14ac:dyDescent="0.3">
      <c r="A266" s="25" t="s">
        <v>59</v>
      </c>
      <c r="B266" s="26">
        <v>4832916</v>
      </c>
      <c r="C266" s="26">
        <v>160105</v>
      </c>
      <c r="D266" s="26">
        <v>1128.9399999999996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follower growth per platform</vt:lpstr>
      <vt:lpstr>peak week of follower gain</vt:lpstr>
      <vt:lpstr>moving averages to smooth growt</vt:lpstr>
      <vt:lpstr>Correlate ad spend vs. follower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krrish mittal</dc:creator>
  <cp:lastModifiedBy>krrish mittal</cp:lastModifiedBy>
  <dcterms:created xsi:type="dcterms:W3CDTF">2025-12-12T13:08:03Z</dcterms:created>
  <dcterms:modified xsi:type="dcterms:W3CDTF">2025-12-12T14:02:35Z</dcterms:modified>
</cp:coreProperties>
</file>