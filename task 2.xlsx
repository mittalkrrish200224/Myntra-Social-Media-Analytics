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358e20683169b36f/Documents/"/>
    </mc:Choice>
  </mc:AlternateContent>
  <xr:revisionPtr revIDLastSave="0" documentId="8_{42FF5AFE-1EE3-4D6B-8C7B-8D82F180C653}" xr6:coauthVersionLast="47" xr6:coauthVersionMax="47" xr10:uidLastSave="{00000000-0000-0000-0000-000000000000}"/>
  <bookViews>
    <workbookView xWindow="-108" yWindow="-108" windowWidth="23256" windowHeight="12456" xr2:uid="{290A554B-E4DE-469F-8F1B-7111B0707C89}"/>
  </bookViews>
  <sheets>
    <sheet name="engagement rate per platform" sheetId="1" r:id="rId1"/>
    <sheet name="follower per platforms" sheetId="2" r:id="rId2"/>
    <sheet name="adspend vs engagement" sheetId="3" r:id="rId3"/>
  </sheets>
  <externalReferences>
    <externalReference r:id="rId4"/>
  </externalReferences>
  <calcPr calcId="191029"/>
  <pivotCaches>
    <pivotCache cacheId="0" r:id="rId5"/>
    <pivotCache cacheId="3" r:id="rId6"/>
    <pivotCache cacheId="2"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7" i="2" l="1"/>
  <c r="L54" i="2"/>
  <c r="L50" i="2"/>
  <c r="L47" i="2"/>
</calcChain>
</file>

<file path=xl/sharedStrings.xml><?xml version="1.0" encoding="utf-8"?>
<sst xmlns="http://schemas.openxmlformats.org/spreadsheetml/2006/main" count="117" uniqueCount="46">
  <si>
    <t xml:space="preserve">Average of Engagement Rate </t>
  </si>
  <si>
    <t>Grand Total</t>
  </si>
  <si>
    <t>Platforms</t>
  </si>
  <si>
    <t>Facebook</t>
  </si>
  <si>
    <t>Story</t>
  </si>
  <si>
    <t>Video</t>
  </si>
  <si>
    <t>Image</t>
  </si>
  <si>
    <t>Carousel</t>
  </si>
  <si>
    <t>Reel</t>
  </si>
  <si>
    <t>Text</t>
  </si>
  <si>
    <t>Instagram</t>
  </si>
  <si>
    <t>Twitter</t>
  </si>
  <si>
    <t>YouTube</t>
  </si>
  <si>
    <t>Platform with highest Engagement Rate is Instagram and can be used announcements , new offers etc</t>
  </si>
  <si>
    <t>Pictures and Multi-Photo Posts are Strong: On some websites, especially YouTube, simple Pictures and your Carousel posts (the ones where people swipe through multiple pictures) are getting more people interested than your regular Videos. This means those easy-to-make posts are working very well.</t>
  </si>
  <si>
    <t>Short Videos are the Best: The Reel videos (the very short, quick ones) on Instagram are among the most popular posts you have. People love these fast videos and interact with them a lot.</t>
  </si>
  <si>
    <t>Regular Videos Need Help: Your usual Videos generally don't get as much interest as your Pictures or Carousels. Myntra should try to figure out how to make those regular videos more fun and engaging for people.</t>
  </si>
  <si>
    <t>Instagram par, Myntra ko sabse zyada Reels aur Stories banane chahiye, kyunki yeh short, trending videos sabse zyada logon ko engage karte hain.</t>
  </si>
  <si>
    <t>YouTube par, Myntra ko high-quality pictures aur multi-photo posts ko zyada importance deni chahiye, kyonki yeh standard videos se better results de rahe hain.</t>
  </si>
  <si>
    <t>Facebook aur Twitter jaise dusre platforms par, Myntra ko Images aur Videos ko barabari se use karna chahiye, khaaskar bade sales announcements aur paid promotions ke liye.</t>
  </si>
  <si>
    <t>Row Labels</t>
  </si>
  <si>
    <t>Sum of Net Followers</t>
  </si>
  <si>
    <t>2024</t>
  </si>
  <si>
    <t>Jun</t>
  </si>
  <si>
    <t>Jul</t>
  </si>
  <si>
    <t>Aug</t>
  </si>
  <si>
    <t>Sep</t>
  </si>
  <si>
    <t>Oct</t>
  </si>
  <si>
    <t>Nov</t>
  </si>
  <si>
    <t>Dec</t>
  </si>
  <si>
    <t>PEAK WEEK BY FOLLOWERS ON PLATFORMS</t>
  </si>
  <si>
    <t>2025</t>
  </si>
  <si>
    <t>Jan</t>
  </si>
  <si>
    <t xml:space="preserve">Peak week for Facebook = </t>
  </si>
  <si>
    <t>Feb</t>
  </si>
  <si>
    <t>Peak week for instagram =</t>
  </si>
  <si>
    <t>Peak week for Twitter</t>
  </si>
  <si>
    <t>=</t>
  </si>
  <si>
    <t>Mar</t>
  </si>
  <si>
    <t>Peak week for Youtube=</t>
  </si>
  <si>
    <t>Apr</t>
  </si>
  <si>
    <t>May</t>
  </si>
  <si>
    <t>Average of Engagement_Rate</t>
  </si>
  <si>
    <t>Sum of Ad_Spend</t>
  </si>
  <si>
    <t>BY OBSERVING THESE CHARTS AND TABLES IT IS STATED THAT INSTAGRAM IS THE PLATFORM ON WHICH MEDIUM AD SPEND IS DONE BUT GIVEN MUCH MORE ENGAGEMENT RATE AND ON OTHER SIDE ON TWITTER AD SPEND IS GIVING EQUAL RESULTS AS ENGAGEMENT WE SEE AND A LOT OF AD SPEND IS DONE ON YOUTUBE AND FACEBOOK BUT NOT GIVEN SO MUCH ENGAGEMENT RATE , SO BEST ROI IS INSTAGRAM In my point of view Myntra should use multiplatform Strategy.</t>
  </si>
  <si>
    <t>Instagram Had Highest ROI , then facebook hai medium, moderate for twitter and low for youtube.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</si>
</sst>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yyyy/mm/dd;@"/>
  </numFmts>
  <fonts count="10" x14ac:knownFonts="1">
    <font>
      <sz val="11"/>
      <color theme="1"/>
      <name val="Calibri"/>
      <family val="2"/>
      <scheme val="minor"/>
    </font>
    <font>
      <sz val="11"/>
      <color theme="1"/>
      <name val="Calibri"/>
      <family val="2"/>
      <scheme val="minor"/>
    </font>
    <font>
      <sz val="12"/>
      <color theme="5"/>
      <name val="Algerian"/>
      <family val="5"/>
    </font>
    <font>
      <b/>
      <sz val="14"/>
      <color theme="5"/>
      <name val="Algerian"/>
      <family val="5"/>
    </font>
    <font>
      <b/>
      <sz val="14"/>
      <color theme="1"/>
      <name val="Calibri"/>
      <family val="2"/>
      <scheme val="minor"/>
    </font>
    <font>
      <b/>
      <sz val="12"/>
      <color rgb="FFFF0000"/>
      <name val="Algerian"/>
      <family val="5"/>
    </font>
    <font>
      <b/>
      <sz val="22"/>
      <color rgb="FFFF0000"/>
      <name val="Algerian"/>
      <family val="5"/>
    </font>
    <font>
      <sz val="12"/>
      <color theme="5"/>
      <name val="Arial Rounded MT Bold"/>
      <family val="2"/>
    </font>
    <font>
      <sz val="12"/>
      <color theme="1"/>
      <name val="Arial Rounded MT Bold"/>
      <family val="2"/>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0" fillId="0" borderId="0" xfId="0" applyAlignment="1">
      <alignment horizontal="left"/>
    </xf>
    <xf numFmtId="10" fontId="0" fillId="0" borderId="0" xfId="0" applyNumberFormat="1"/>
    <xf numFmtId="0" fontId="1" fillId="0" borderId="0" xfId="0" applyFont="1"/>
    <xf numFmtId="0" fontId="2" fillId="0" borderId="0" xfId="0" applyFont="1"/>
    <xf numFmtId="0" fontId="0" fillId="0" borderId="0" xfId="0" pivotButton="1"/>
    <xf numFmtId="0" fontId="0" fillId="0" borderId="0" xfId="0" applyAlignment="1">
      <alignment horizontal="left" indent="1"/>
    </xf>
    <xf numFmtId="0" fontId="3" fillId="0" borderId="0" xfId="0" applyFont="1"/>
    <xf numFmtId="0" fontId="4" fillId="0" borderId="0" xfId="0" applyFont="1"/>
    <xf numFmtId="0" fontId="5" fillId="0" borderId="0" xfId="0" applyFont="1"/>
    <xf numFmtId="164" fontId="0" fillId="0" borderId="0" xfId="0" applyNumberFormat="1"/>
    <xf numFmtId="164" fontId="0" fillId="0" borderId="0" xfId="0" applyNumberFormat="1" applyAlignment="1">
      <alignment horizontal="left"/>
    </xf>
    <xf numFmtId="1" fontId="0" fillId="0" borderId="0" xfId="0" applyNumberFormat="1"/>
    <xf numFmtId="0" fontId="0" fillId="0" borderId="0" xfId="0" applyAlignment="1">
      <alignment horizontal="left" indent="2"/>
    </xf>
    <xf numFmtId="164" fontId="0" fillId="0" borderId="0" xfId="0" applyNumberFormat="1" applyAlignment="1">
      <alignment horizontal="left" indent="3"/>
    </xf>
    <xf numFmtId="0" fontId="6" fillId="0" borderId="0" xfId="0" applyFont="1"/>
    <xf numFmtId="0" fontId="7" fillId="0" borderId="0" xfId="0" applyFont="1"/>
    <xf numFmtId="0" fontId="8" fillId="0" borderId="0" xfId="0" applyFont="1"/>
    <xf numFmtId="164" fontId="0" fillId="0" borderId="0" xfId="0" pivotButton="1" applyNumberFormat="1"/>
    <xf numFmtId="0" fontId="9" fillId="0" borderId="0" xfId="0" applyFont="1"/>
  </cellXfs>
  <cellStyles count="1">
    <cellStyle name="Normal" xfId="0" builtinId="0"/>
  </cellStyles>
  <dxfs count="3">
    <dxf>
      <numFmt numFmtId="164" formatCode="[$-14009]yyyy/mm/dd;@"/>
    </dxf>
    <dxf>
      <numFmt numFmtId="164" formatCode="[$-14009]yyyy/mm/dd;@"/>
    </dxf>
    <dxf>
      <numFmt numFmtId="164" formatCode="[$-14009]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0" i="0" u="none" strike="noStrike" baseline="0">
                <a:effectLst/>
              </a:rPr>
              <a:t>Average Engagement Rate by Content Type and Platform (%)</a:t>
            </a:r>
            <a:endParaRPr lang="en-IN"/>
          </a:p>
        </c:rich>
      </c:tx>
      <c:layout>
        <c:manualLayout>
          <c:xMode val="edge"/>
          <c:yMode val="edge"/>
          <c:x val="0.21877525438529374"/>
          <c:y val="4.386495970802099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648159364694784E-2"/>
          <c:y val="0.14249781277340332"/>
          <c:w val="0.91754842183188645"/>
          <c:h val="0.37552894429862932"/>
        </c:manualLayout>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4"/>
              <c:pt idx="0">
                <c:v>Facebook Story</c:v>
              </c:pt>
              <c:pt idx="1">
                <c:v>Facebook Video</c:v>
              </c:pt>
              <c:pt idx="2">
                <c:v>Facebook Image</c:v>
              </c:pt>
              <c:pt idx="3">
                <c:v>Facebook Carousel</c:v>
              </c:pt>
              <c:pt idx="4">
                <c:v>Facebook Reel</c:v>
              </c:pt>
              <c:pt idx="5">
                <c:v>Facebook Text</c:v>
              </c:pt>
              <c:pt idx="6">
                <c:v>Instagram Reel</c:v>
              </c:pt>
              <c:pt idx="7">
                <c:v>Instagram Story</c:v>
              </c:pt>
              <c:pt idx="8">
                <c:v>Instagram Video</c:v>
              </c:pt>
              <c:pt idx="9">
                <c:v>Instagram Image</c:v>
              </c:pt>
              <c:pt idx="10">
                <c:v>Instagram Carousel</c:v>
              </c:pt>
              <c:pt idx="11">
                <c:v>Instagram Text</c:v>
              </c:pt>
              <c:pt idx="12">
                <c:v>Twitter Story</c:v>
              </c:pt>
              <c:pt idx="13">
                <c:v>Twitter Carousel</c:v>
              </c:pt>
              <c:pt idx="14">
                <c:v>Twitter Image</c:v>
              </c:pt>
              <c:pt idx="15">
                <c:v>Twitter Reel</c:v>
              </c:pt>
              <c:pt idx="16">
                <c:v>Twitter Text</c:v>
              </c:pt>
              <c:pt idx="17">
                <c:v>Twitter Video</c:v>
              </c:pt>
              <c:pt idx="18">
                <c:v>YouTube Carousel</c:v>
              </c:pt>
              <c:pt idx="19">
                <c:v>YouTube Image</c:v>
              </c:pt>
              <c:pt idx="20">
                <c:v>YouTube Video</c:v>
              </c:pt>
              <c:pt idx="21">
                <c:v>YouTube Reel</c:v>
              </c:pt>
              <c:pt idx="22">
                <c:v>YouTube Text</c:v>
              </c:pt>
              <c:pt idx="23">
                <c:v>YouTube Story</c:v>
              </c:pt>
            </c:strLit>
          </c:cat>
          <c:val>
            <c:numLit>
              <c:formatCode>General</c:formatCode>
              <c:ptCount val="24"/>
              <c:pt idx="0">
                <c:v>1.5898977777988454E-3</c:v>
              </c:pt>
              <c:pt idx="1">
                <c:v>1.2899653614759149E-3</c:v>
              </c:pt>
              <c:pt idx="2">
                <c:v>1.1892682975133068E-3</c:v>
              </c:pt>
              <c:pt idx="3">
                <c:v>1.1820589815604368E-3</c:v>
              </c:pt>
              <c:pt idx="4">
                <c:v>1.0810248159985611E-3</c:v>
              </c:pt>
              <c:pt idx="5">
                <c:v>1.0743951285512839E-3</c:v>
              </c:pt>
              <c:pt idx="6">
                <c:v>2.6004033206333968E-3</c:v>
              </c:pt>
              <c:pt idx="7">
                <c:v>2.4558274253543631E-3</c:v>
              </c:pt>
              <c:pt idx="8">
                <c:v>2.0623960616405414E-3</c:v>
              </c:pt>
              <c:pt idx="9">
                <c:v>1.492986248402529E-3</c:v>
              </c:pt>
              <c:pt idx="10">
                <c:v>1.4439860032256029E-3</c:v>
              </c:pt>
              <c:pt idx="11">
                <c:v>1.2920449104190182E-3</c:v>
              </c:pt>
              <c:pt idx="12">
                <c:v>1.8859716943319419E-3</c:v>
              </c:pt>
              <c:pt idx="13">
                <c:v>1.5972488239914529E-3</c:v>
              </c:pt>
              <c:pt idx="14">
                <c:v>1.475664819137731E-3</c:v>
              </c:pt>
              <c:pt idx="15">
                <c:v>1.2428081569427864E-3</c:v>
              </c:pt>
              <c:pt idx="16">
                <c:v>1.2088972902726508E-3</c:v>
              </c:pt>
              <c:pt idx="17">
                <c:v>1.1980876658677889E-3</c:v>
              </c:pt>
              <c:pt idx="18">
                <c:v>1.7416554369953546E-3</c:v>
              </c:pt>
              <c:pt idx="19">
                <c:v>1.5035567844671382E-3</c:v>
              </c:pt>
              <c:pt idx="20">
                <c:v>1.2968338256813224E-3</c:v>
              </c:pt>
              <c:pt idx="21">
                <c:v>1.1688583584797581E-3</c:v>
              </c:pt>
              <c:pt idx="22">
                <c:v>1.1459217612964398E-3</c:v>
              </c:pt>
              <c:pt idx="23">
                <c:v>9.4965330348360777E-4</c:v>
              </c:pt>
            </c:numLit>
          </c:val>
          <c:extLst>
            <c:ext xmlns:c16="http://schemas.microsoft.com/office/drawing/2014/chart" uri="{C3380CC4-5D6E-409C-BE32-E72D297353CC}">
              <c16:uniqueId val="{00000000-FBA2-4D6F-ABC9-659F5A716238}"/>
            </c:ext>
          </c:extLst>
        </c:ser>
        <c:dLbls>
          <c:showLegendKey val="0"/>
          <c:showVal val="1"/>
          <c:showCatName val="0"/>
          <c:showSerName val="0"/>
          <c:showPercent val="0"/>
          <c:showBubbleSize val="0"/>
        </c:dLbls>
        <c:gapWidth val="75"/>
        <c:axId val="1801115743"/>
        <c:axId val="1801116223"/>
      </c:barChart>
      <c:catAx>
        <c:axId val="18011157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1116223"/>
        <c:crosses val="autoZero"/>
        <c:auto val="1"/>
        <c:lblAlgn val="ctr"/>
        <c:lblOffset val="100"/>
        <c:noMultiLvlLbl val="0"/>
      </c:catAx>
      <c:valAx>
        <c:axId val="1801116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1115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latin typeface="Algerian" panose="04020705040A02060702" pitchFamily="82" charset="0"/>
              </a:rPr>
              <a:t>Follower</a:t>
            </a:r>
            <a:r>
              <a:rPr lang="en-US" sz="1800" baseline="0">
                <a:latin typeface="Algerian" panose="04020705040A02060702" pitchFamily="82" charset="0"/>
              </a:rPr>
              <a:t> Growth On Various Platforms Per week</a:t>
            </a:r>
            <a:endParaRPr lang="en-US" sz="1800">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Lit>
              <c:ptCount val="200"/>
              <c:pt idx="0">
                <c:v>Facebook 2024 Jun 2024-06-03</c:v>
              </c:pt>
              <c:pt idx="1">
                <c:v>Facebook 2024 Jun 2024-06-10</c:v>
              </c:pt>
              <c:pt idx="2">
                <c:v>Facebook 2024 Jun 2024-06-17</c:v>
              </c:pt>
              <c:pt idx="3">
                <c:v>Facebook 2024 Jun 2024-06-24</c:v>
              </c:pt>
              <c:pt idx="4">
                <c:v>Facebook 2024 Jul 2024-07-01</c:v>
              </c:pt>
              <c:pt idx="5">
                <c:v>Facebook 2024 Jul 2024-07-08</c:v>
              </c:pt>
              <c:pt idx="6">
                <c:v>Facebook 2024 Jul 2024-07-15</c:v>
              </c:pt>
              <c:pt idx="7">
                <c:v>Facebook 2024 Jul 2024-07-22</c:v>
              </c:pt>
              <c:pt idx="8">
                <c:v>Facebook 2024 Jul 2024-07-29</c:v>
              </c:pt>
              <c:pt idx="9">
                <c:v>Facebook 2024 Aug 2024-08-05</c:v>
              </c:pt>
              <c:pt idx="10">
                <c:v>Facebook 2024 Aug 2024-08-12</c:v>
              </c:pt>
              <c:pt idx="11">
                <c:v>Facebook 2024 Aug 2024-08-19</c:v>
              </c:pt>
              <c:pt idx="12">
                <c:v>Facebook 2024 Aug 2024-08-26</c:v>
              </c:pt>
              <c:pt idx="13">
                <c:v>Facebook 2024 Sep 2024-09-02</c:v>
              </c:pt>
              <c:pt idx="14">
                <c:v>Facebook 2024 Sep 2024-09-09</c:v>
              </c:pt>
              <c:pt idx="15">
                <c:v>Facebook 2024 Sep 2024-09-16</c:v>
              </c:pt>
              <c:pt idx="16">
                <c:v>Facebook 2024 Sep 2024-09-23</c:v>
              </c:pt>
              <c:pt idx="17">
                <c:v>Facebook 2024 Sep 2024-09-30</c:v>
              </c:pt>
              <c:pt idx="18">
                <c:v>Facebook 2024 Oct 2024-10-07</c:v>
              </c:pt>
              <c:pt idx="19">
                <c:v>Facebook 2024 Oct 2024-10-14</c:v>
              </c:pt>
              <c:pt idx="20">
                <c:v>Facebook 2024 Oct 2024-10-21</c:v>
              </c:pt>
              <c:pt idx="21">
                <c:v>Facebook 2024 Oct 2024-10-28</c:v>
              </c:pt>
              <c:pt idx="22">
                <c:v>Facebook 2024 Nov 2024-11-04</c:v>
              </c:pt>
              <c:pt idx="23">
                <c:v>Facebook 2024 Nov 2024-11-11</c:v>
              </c:pt>
              <c:pt idx="24">
                <c:v>Facebook 2024 Nov 2024-11-18</c:v>
              </c:pt>
              <c:pt idx="25">
                <c:v>Facebook 2024 Nov 2024-11-25</c:v>
              </c:pt>
              <c:pt idx="26">
                <c:v>Facebook 2024 Dec 2024-12-02</c:v>
              </c:pt>
              <c:pt idx="27">
                <c:v>Facebook 2024 Dec 2024-12-09</c:v>
              </c:pt>
              <c:pt idx="28">
                <c:v>Facebook 2024 Dec 2024-12-16</c:v>
              </c:pt>
              <c:pt idx="29">
                <c:v>Facebook 2024 Dec 2024-12-23</c:v>
              </c:pt>
              <c:pt idx="30">
                <c:v>Facebook 2024 Dec 2024-12-30</c:v>
              </c:pt>
              <c:pt idx="31">
                <c:v>Facebook 2025 Jan 2025-01-06</c:v>
              </c:pt>
              <c:pt idx="32">
                <c:v>Facebook 2025 Jan 2025-01-13</c:v>
              </c:pt>
              <c:pt idx="33">
                <c:v>Facebook 2025 Jan 2025-01-20</c:v>
              </c:pt>
              <c:pt idx="34">
                <c:v>Facebook 2025 Jan 2025-01-27</c:v>
              </c:pt>
              <c:pt idx="35">
                <c:v>Facebook 2025 Feb 2025-02-03</c:v>
              </c:pt>
              <c:pt idx="36">
                <c:v>Facebook 2025 Feb 2025-02-10</c:v>
              </c:pt>
              <c:pt idx="37">
                <c:v>Facebook 2025 Feb 2025-02-17</c:v>
              </c:pt>
              <c:pt idx="38">
                <c:v>Facebook 2025 Feb 2025-02-24</c:v>
              </c:pt>
              <c:pt idx="39">
                <c:v>Facebook 2025 Mar 2025-03-03</c:v>
              </c:pt>
              <c:pt idx="40">
                <c:v>Facebook 2025 Mar 2025-03-10</c:v>
              </c:pt>
              <c:pt idx="41">
                <c:v>Facebook 2025 Mar 2025-03-17</c:v>
              </c:pt>
              <c:pt idx="42">
                <c:v>Facebook 2025 Mar 2025-03-24</c:v>
              </c:pt>
              <c:pt idx="43">
                <c:v>Facebook 2025 Mar 2025-03-31</c:v>
              </c:pt>
              <c:pt idx="44">
                <c:v>Facebook 2025 Apr 2025-04-07</c:v>
              </c:pt>
              <c:pt idx="45">
                <c:v>Facebook 2025 Apr 2025-04-14</c:v>
              </c:pt>
              <c:pt idx="46">
                <c:v>Facebook 2025 Apr 2025-04-21</c:v>
              </c:pt>
              <c:pt idx="47">
                <c:v>Facebook 2025 Apr 2025-04-28</c:v>
              </c:pt>
              <c:pt idx="48">
                <c:v>Facebook 2025 May 2025-05-05</c:v>
              </c:pt>
              <c:pt idx="49">
                <c:v>Facebook 2025 May 2025-05-12</c:v>
              </c:pt>
              <c:pt idx="50">
                <c:v>Instagram 2024 Jun 2024-06-03</c:v>
              </c:pt>
              <c:pt idx="51">
                <c:v>Instagram 2024 Jun 2024-06-10</c:v>
              </c:pt>
              <c:pt idx="52">
                <c:v>Instagram 2024 Jun 2024-06-17</c:v>
              </c:pt>
              <c:pt idx="53">
                <c:v>Instagram 2024 Jun 2024-06-24</c:v>
              </c:pt>
              <c:pt idx="54">
                <c:v>Instagram 2024 Jul 2024-07-01</c:v>
              </c:pt>
              <c:pt idx="55">
                <c:v>Instagram 2024 Jul 2024-07-08</c:v>
              </c:pt>
              <c:pt idx="56">
                <c:v>Instagram 2024 Jul 2024-07-15</c:v>
              </c:pt>
              <c:pt idx="57">
                <c:v>Instagram 2024 Jul 2024-07-22</c:v>
              </c:pt>
              <c:pt idx="58">
                <c:v>Instagram 2024 Jul 2024-07-29</c:v>
              </c:pt>
              <c:pt idx="59">
                <c:v>Instagram 2024 Aug 2024-08-05</c:v>
              </c:pt>
              <c:pt idx="60">
                <c:v>Instagram 2024 Aug 2024-08-12</c:v>
              </c:pt>
              <c:pt idx="61">
                <c:v>Instagram 2024 Aug 2024-08-19</c:v>
              </c:pt>
              <c:pt idx="62">
                <c:v>Instagram 2024 Aug 2024-08-26</c:v>
              </c:pt>
              <c:pt idx="63">
                <c:v>Instagram 2024 Sep 2024-09-02</c:v>
              </c:pt>
              <c:pt idx="64">
                <c:v>Instagram 2024 Sep 2024-09-09</c:v>
              </c:pt>
              <c:pt idx="65">
                <c:v>Instagram 2024 Sep 2024-09-16</c:v>
              </c:pt>
              <c:pt idx="66">
                <c:v>Instagram 2024 Sep 2024-09-23</c:v>
              </c:pt>
              <c:pt idx="67">
                <c:v>Instagram 2024 Sep 2024-09-30</c:v>
              </c:pt>
              <c:pt idx="68">
                <c:v>Instagram 2024 Oct 2024-10-07</c:v>
              </c:pt>
              <c:pt idx="69">
                <c:v>Instagram 2024 Oct 2024-10-14</c:v>
              </c:pt>
              <c:pt idx="70">
                <c:v>Instagram 2024 Oct 2024-10-21</c:v>
              </c:pt>
              <c:pt idx="71">
                <c:v>Instagram 2024 Oct 2024-10-28</c:v>
              </c:pt>
              <c:pt idx="72">
                <c:v>Instagram 2024 Nov 2024-11-04</c:v>
              </c:pt>
              <c:pt idx="73">
                <c:v>Instagram 2024 Nov 2024-11-11</c:v>
              </c:pt>
              <c:pt idx="74">
                <c:v>Instagram 2024 Nov 2024-11-18</c:v>
              </c:pt>
              <c:pt idx="75">
                <c:v>Instagram 2024 Nov 2024-11-25</c:v>
              </c:pt>
              <c:pt idx="76">
                <c:v>Instagram 2024 Dec 2024-12-02</c:v>
              </c:pt>
              <c:pt idx="77">
                <c:v>Instagram 2024 Dec 2024-12-09</c:v>
              </c:pt>
              <c:pt idx="78">
                <c:v>Instagram 2024 Dec 2024-12-16</c:v>
              </c:pt>
              <c:pt idx="79">
                <c:v>Instagram 2024 Dec 2024-12-23</c:v>
              </c:pt>
              <c:pt idx="80">
                <c:v>Instagram 2024 Dec 2024-12-30</c:v>
              </c:pt>
              <c:pt idx="81">
                <c:v>Instagram 2025 Jan 2025-01-06</c:v>
              </c:pt>
              <c:pt idx="82">
                <c:v>Instagram 2025 Jan 2025-01-13</c:v>
              </c:pt>
              <c:pt idx="83">
                <c:v>Instagram 2025 Jan 2025-01-20</c:v>
              </c:pt>
              <c:pt idx="84">
                <c:v>Instagram 2025 Jan 2025-01-27</c:v>
              </c:pt>
              <c:pt idx="85">
                <c:v>Instagram 2025 Feb 2025-02-03</c:v>
              </c:pt>
              <c:pt idx="86">
                <c:v>Instagram 2025 Feb 2025-02-10</c:v>
              </c:pt>
              <c:pt idx="87">
                <c:v>Instagram 2025 Feb 2025-02-17</c:v>
              </c:pt>
              <c:pt idx="88">
                <c:v>Instagram 2025 Feb 2025-02-24</c:v>
              </c:pt>
              <c:pt idx="89">
                <c:v>Instagram 2025 Mar 2025-03-03</c:v>
              </c:pt>
              <c:pt idx="90">
                <c:v>Instagram 2025 Mar 2025-03-10</c:v>
              </c:pt>
              <c:pt idx="91">
                <c:v>Instagram 2025 Mar 2025-03-17</c:v>
              </c:pt>
              <c:pt idx="92">
                <c:v>Instagram 2025 Mar 2025-03-24</c:v>
              </c:pt>
              <c:pt idx="93">
                <c:v>Instagram 2025 Mar 2025-03-31</c:v>
              </c:pt>
              <c:pt idx="94">
                <c:v>Instagram 2025 Apr 2025-04-07</c:v>
              </c:pt>
              <c:pt idx="95">
                <c:v>Instagram 2025 Apr 2025-04-14</c:v>
              </c:pt>
              <c:pt idx="96">
                <c:v>Instagram 2025 Apr 2025-04-21</c:v>
              </c:pt>
              <c:pt idx="97">
                <c:v>Instagram 2025 Apr 2025-04-28</c:v>
              </c:pt>
              <c:pt idx="98">
                <c:v>Instagram 2025 May 2025-05-05</c:v>
              </c:pt>
              <c:pt idx="99">
                <c:v>Instagram 2025 May 2025-05-12</c:v>
              </c:pt>
              <c:pt idx="100">
                <c:v>Twitter 2024 Jun 2024-06-03</c:v>
              </c:pt>
              <c:pt idx="101">
                <c:v>Twitter 2024 Jun 2024-06-10</c:v>
              </c:pt>
              <c:pt idx="102">
                <c:v>Twitter 2024 Jun 2024-06-17</c:v>
              </c:pt>
              <c:pt idx="103">
                <c:v>Twitter 2024 Jun 2024-06-24</c:v>
              </c:pt>
              <c:pt idx="104">
                <c:v>Twitter 2024 Jul 2024-07-01</c:v>
              </c:pt>
              <c:pt idx="105">
                <c:v>Twitter 2024 Jul 2024-07-08</c:v>
              </c:pt>
              <c:pt idx="106">
                <c:v>Twitter 2024 Jul 2024-07-15</c:v>
              </c:pt>
              <c:pt idx="107">
                <c:v>Twitter 2024 Jul 2024-07-22</c:v>
              </c:pt>
              <c:pt idx="108">
                <c:v>Twitter 2024 Jul 2024-07-29</c:v>
              </c:pt>
              <c:pt idx="109">
                <c:v>Twitter 2024 Aug 2024-08-05</c:v>
              </c:pt>
              <c:pt idx="110">
                <c:v>Twitter 2024 Aug 2024-08-12</c:v>
              </c:pt>
              <c:pt idx="111">
                <c:v>Twitter 2024 Aug 2024-08-19</c:v>
              </c:pt>
              <c:pt idx="112">
                <c:v>Twitter 2024 Aug 2024-08-26</c:v>
              </c:pt>
              <c:pt idx="113">
                <c:v>Twitter 2024 Sep 2024-09-02</c:v>
              </c:pt>
              <c:pt idx="114">
                <c:v>Twitter 2024 Sep 2024-09-09</c:v>
              </c:pt>
              <c:pt idx="115">
                <c:v>Twitter 2024 Sep 2024-09-16</c:v>
              </c:pt>
              <c:pt idx="116">
                <c:v>Twitter 2024 Sep 2024-09-23</c:v>
              </c:pt>
              <c:pt idx="117">
                <c:v>Twitter 2024 Sep 2024-09-30</c:v>
              </c:pt>
              <c:pt idx="118">
                <c:v>Twitter 2024 Oct 2024-10-07</c:v>
              </c:pt>
              <c:pt idx="119">
                <c:v>Twitter 2024 Oct 2024-10-14</c:v>
              </c:pt>
              <c:pt idx="120">
                <c:v>Twitter 2024 Oct 2024-10-21</c:v>
              </c:pt>
              <c:pt idx="121">
                <c:v>Twitter 2024 Oct 2024-10-28</c:v>
              </c:pt>
              <c:pt idx="122">
                <c:v>Twitter 2024 Nov 2024-11-04</c:v>
              </c:pt>
              <c:pt idx="123">
                <c:v>Twitter 2024 Nov 2024-11-11</c:v>
              </c:pt>
              <c:pt idx="124">
                <c:v>Twitter 2024 Nov 2024-11-18</c:v>
              </c:pt>
              <c:pt idx="125">
                <c:v>Twitter 2024 Nov 2024-11-25</c:v>
              </c:pt>
              <c:pt idx="126">
                <c:v>Twitter 2024 Dec 2024-12-02</c:v>
              </c:pt>
              <c:pt idx="127">
                <c:v>Twitter 2024 Dec 2024-12-09</c:v>
              </c:pt>
              <c:pt idx="128">
                <c:v>Twitter 2024 Dec 2024-12-16</c:v>
              </c:pt>
              <c:pt idx="129">
                <c:v>Twitter 2024 Dec 2024-12-23</c:v>
              </c:pt>
              <c:pt idx="130">
                <c:v>Twitter 2024 Dec 2024-12-30</c:v>
              </c:pt>
              <c:pt idx="131">
                <c:v>Twitter 2025 Jan 2025-01-06</c:v>
              </c:pt>
              <c:pt idx="132">
                <c:v>Twitter 2025 Jan 2025-01-13</c:v>
              </c:pt>
              <c:pt idx="133">
                <c:v>Twitter 2025 Jan 2025-01-20</c:v>
              </c:pt>
              <c:pt idx="134">
                <c:v>Twitter 2025 Jan 2025-01-27</c:v>
              </c:pt>
              <c:pt idx="135">
                <c:v>Twitter 2025 Feb 2025-02-03</c:v>
              </c:pt>
              <c:pt idx="136">
                <c:v>Twitter 2025 Feb 2025-02-10</c:v>
              </c:pt>
              <c:pt idx="137">
                <c:v>Twitter 2025 Feb 2025-02-17</c:v>
              </c:pt>
              <c:pt idx="138">
                <c:v>Twitter 2025 Feb 2025-02-24</c:v>
              </c:pt>
              <c:pt idx="139">
                <c:v>Twitter 2025 Mar 2025-03-03</c:v>
              </c:pt>
              <c:pt idx="140">
                <c:v>Twitter 2025 Mar 2025-03-10</c:v>
              </c:pt>
              <c:pt idx="141">
                <c:v>Twitter 2025 Mar 2025-03-17</c:v>
              </c:pt>
              <c:pt idx="142">
                <c:v>Twitter 2025 Mar 2025-03-24</c:v>
              </c:pt>
              <c:pt idx="143">
                <c:v>Twitter 2025 Mar 2025-03-31</c:v>
              </c:pt>
              <c:pt idx="144">
                <c:v>Twitter 2025 Apr 2025-04-07</c:v>
              </c:pt>
              <c:pt idx="145">
                <c:v>Twitter 2025 Apr 2025-04-14</c:v>
              </c:pt>
              <c:pt idx="146">
                <c:v>Twitter 2025 Apr 2025-04-21</c:v>
              </c:pt>
              <c:pt idx="147">
                <c:v>Twitter 2025 Apr 2025-04-28</c:v>
              </c:pt>
              <c:pt idx="148">
                <c:v>Twitter 2025 May 2025-05-05</c:v>
              </c:pt>
              <c:pt idx="149">
                <c:v>Twitter 2025 May 2025-05-12</c:v>
              </c:pt>
              <c:pt idx="150">
                <c:v>YouTube 2024 Jun 2024-06-03</c:v>
              </c:pt>
              <c:pt idx="151">
                <c:v>YouTube 2024 Jun 2024-06-10</c:v>
              </c:pt>
              <c:pt idx="152">
                <c:v>YouTube 2024 Jun 2024-06-17</c:v>
              </c:pt>
              <c:pt idx="153">
                <c:v>YouTube 2024 Jun 2024-06-24</c:v>
              </c:pt>
              <c:pt idx="154">
                <c:v>YouTube 2024 Jul 2024-07-01</c:v>
              </c:pt>
              <c:pt idx="155">
                <c:v>YouTube 2024 Jul 2024-07-08</c:v>
              </c:pt>
              <c:pt idx="156">
                <c:v>YouTube 2024 Jul 2024-07-15</c:v>
              </c:pt>
              <c:pt idx="157">
                <c:v>YouTube 2024 Jul 2024-07-22</c:v>
              </c:pt>
              <c:pt idx="158">
                <c:v>YouTube 2024 Jul 2024-07-29</c:v>
              </c:pt>
              <c:pt idx="159">
                <c:v>YouTube 2024 Aug 2024-08-05</c:v>
              </c:pt>
              <c:pt idx="160">
                <c:v>YouTube 2024 Aug 2024-08-12</c:v>
              </c:pt>
              <c:pt idx="161">
                <c:v>YouTube 2024 Aug 2024-08-19</c:v>
              </c:pt>
              <c:pt idx="162">
                <c:v>YouTube 2024 Aug 2024-08-26</c:v>
              </c:pt>
              <c:pt idx="163">
                <c:v>YouTube 2024 Sep 2024-09-02</c:v>
              </c:pt>
              <c:pt idx="164">
                <c:v>YouTube 2024 Sep 2024-09-09</c:v>
              </c:pt>
              <c:pt idx="165">
                <c:v>YouTube 2024 Sep 2024-09-16</c:v>
              </c:pt>
              <c:pt idx="166">
                <c:v>YouTube 2024 Sep 2024-09-23</c:v>
              </c:pt>
              <c:pt idx="167">
                <c:v>YouTube 2024 Sep 2024-09-30</c:v>
              </c:pt>
              <c:pt idx="168">
                <c:v>YouTube 2024 Oct 2024-10-07</c:v>
              </c:pt>
              <c:pt idx="169">
                <c:v>YouTube 2024 Oct 2024-10-14</c:v>
              </c:pt>
              <c:pt idx="170">
                <c:v>YouTube 2024 Oct 2024-10-21</c:v>
              </c:pt>
              <c:pt idx="171">
                <c:v>YouTube 2024 Oct 2024-10-28</c:v>
              </c:pt>
              <c:pt idx="172">
                <c:v>YouTube 2024 Nov 2024-11-04</c:v>
              </c:pt>
              <c:pt idx="173">
                <c:v>YouTube 2024 Nov 2024-11-11</c:v>
              </c:pt>
              <c:pt idx="174">
                <c:v>YouTube 2024 Nov 2024-11-18</c:v>
              </c:pt>
              <c:pt idx="175">
                <c:v>YouTube 2024 Nov 2024-11-25</c:v>
              </c:pt>
              <c:pt idx="176">
                <c:v>YouTube 2024 Dec 2024-12-02</c:v>
              </c:pt>
              <c:pt idx="177">
                <c:v>YouTube 2024 Dec 2024-12-09</c:v>
              </c:pt>
              <c:pt idx="178">
                <c:v>YouTube 2024 Dec 2024-12-16</c:v>
              </c:pt>
              <c:pt idx="179">
                <c:v>YouTube 2024 Dec 2024-12-23</c:v>
              </c:pt>
              <c:pt idx="180">
                <c:v>YouTube 2024 Dec 2024-12-30</c:v>
              </c:pt>
              <c:pt idx="181">
                <c:v>YouTube 2025 Jan 2025-01-06</c:v>
              </c:pt>
              <c:pt idx="182">
                <c:v>YouTube 2025 Jan 2025-01-13</c:v>
              </c:pt>
              <c:pt idx="183">
                <c:v>YouTube 2025 Jan 2025-01-20</c:v>
              </c:pt>
              <c:pt idx="184">
                <c:v>YouTube 2025 Jan 2025-01-27</c:v>
              </c:pt>
              <c:pt idx="185">
                <c:v>YouTube 2025 Feb 2025-02-03</c:v>
              </c:pt>
              <c:pt idx="186">
                <c:v>YouTube 2025 Feb 2025-02-10</c:v>
              </c:pt>
              <c:pt idx="187">
                <c:v>YouTube 2025 Feb 2025-02-17</c:v>
              </c:pt>
              <c:pt idx="188">
                <c:v>YouTube 2025 Feb 2025-02-24</c:v>
              </c:pt>
              <c:pt idx="189">
                <c:v>YouTube 2025 Mar 2025-03-03</c:v>
              </c:pt>
              <c:pt idx="190">
                <c:v>YouTube 2025 Mar 2025-03-10</c:v>
              </c:pt>
              <c:pt idx="191">
                <c:v>YouTube 2025 Mar 2025-03-17</c:v>
              </c:pt>
              <c:pt idx="192">
                <c:v>YouTube 2025 Mar 2025-03-24</c:v>
              </c:pt>
              <c:pt idx="193">
                <c:v>YouTube 2025 Mar 2025-03-31</c:v>
              </c:pt>
              <c:pt idx="194">
                <c:v>YouTube 2025 Apr 2025-04-07</c:v>
              </c:pt>
              <c:pt idx="195">
                <c:v>YouTube 2025 Apr 2025-04-14</c:v>
              </c:pt>
              <c:pt idx="196">
                <c:v>YouTube 2025 Apr 2025-04-21</c:v>
              </c:pt>
              <c:pt idx="197">
                <c:v>YouTube 2025 Apr 2025-04-28</c:v>
              </c:pt>
              <c:pt idx="198">
                <c:v>YouTube 2025 May 2025-05-05</c:v>
              </c:pt>
              <c:pt idx="199">
                <c:v>YouTube 2025 May 2025-05-12</c:v>
              </c:pt>
            </c:strLit>
          </c:cat>
          <c:val>
            <c:numLit>
              <c:formatCode>General</c:formatCode>
              <c:ptCount val="200"/>
              <c:pt idx="0">
                <c:v>1002</c:v>
              </c:pt>
              <c:pt idx="1">
                <c:v>1283</c:v>
              </c:pt>
              <c:pt idx="2">
                <c:v>1382</c:v>
              </c:pt>
              <c:pt idx="3">
                <c:v>1670</c:v>
              </c:pt>
              <c:pt idx="4">
                <c:v>64</c:v>
              </c:pt>
              <c:pt idx="5">
                <c:v>309</c:v>
              </c:pt>
              <c:pt idx="6">
                <c:v>-164</c:v>
              </c:pt>
              <c:pt idx="7">
                <c:v>961</c:v>
              </c:pt>
              <c:pt idx="8">
                <c:v>-318</c:v>
              </c:pt>
              <c:pt idx="9">
                <c:v>-197</c:v>
              </c:pt>
              <c:pt idx="10">
                <c:v>1334</c:v>
              </c:pt>
              <c:pt idx="11">
                <c:v>1058</c:v>
              </c:pt>
              <c:pt idx="12">
                <c:v>37</c:v>
              </c:pt>
              <c:pt idx="13">
                <c:v>1045</c:v>
              </c:pt>
              <c:pt idx="14">
                <c:v>1428</c:v>
              </c:pt>
              <c:pt idx="15">
                <c:v>98</c:v>
              </c:pt>
              <c:pt idx="16">
                <c:v>-19</c:v>
              </c:pt>
              <c:pt idx="17">
                <c:v>-179</c:v>
              </c:pt>
              <c:pt idx="18">
                <c:v>1662</c:v>
              </c:pt>
              <c:pt idx="19">
                <c:v>285</c:v>
              </c:pt>
              <c:pt idx="20">
                <c:v>439</c:v>
              </c:pt>
              <c:pt idx="21">
                <c:v>386</c:v>
              </c:pt>
              <c:pt idx="22">
                <c:v>540</c:v>
              </c:pt>
              <c:pt idx="23">
                <c:v>-106</c:v>
              </c:pt>
              <c:pt idx="24">
                <c:v>72</c:v>
              </c:pt>
              <c:pt idx="25">
                <c:v>1332</c:v>
              </c:pt>
              <c:pt idx="26">
                <c:v>1706</c:v>
              </c:pt>
              <c:pt idx="27">
                <c:v>1373</c:v>
              </c:pt>
              <c:pt idx="28">
                <c:v>1377</c:v>
              </c:pt>
              <c:pt idx="29">
                <c:v>730</c:v>
              </c:pt>
              <c:pt idx="30">
                <c:v>1776</c:v>
              </c:pt>
              <c:pt idx="31">
                <c:v>620</c:v>
              </c:pt>
              <c:pt idx="32">
                <c:v>298</c:v>
              </c:pt>
              <c:pt idx="33">
                <c:v>427</c:v>
              </c:pt>
              <c:pt idx="34">
                <c:v>898</c:v>
              </c:pt>
              <c:pt idx="35">
                <c:v>748</c:v>
              </c:pt>
              <c:pt idx="36">
                <c:v>912</c:v>
              </c:pt>
              <c:pt idx="37">
                <c:v>1590</c:v>
              </c:pt>
              <c:pt idx="38">
                <c:v>1707</c:v>
              </c:pt>
              <c:pt idx="39">
                <c:v>-119</c:v>
              </c:pt>
              <c:pt idx="40">
                <c:v>908</c:v>
              </c:pt>
              <c:pt idx="41">
                <c:v>1116</c:v>
              </c:pt>
              <c:pt idx="42">
                <c:v>474</c:v>
              </c:pt>
              <c:pt idx="43">
                <c:v>514</c:v>
              </c:pt>
              <c:pt idx="44">
                <c:v>1029</c:v>
              </c:pt>
              <c:pt idx="45">
                <c:v>-175</c:v>
              </c:pt>
              <c:pt idx="46">
                <c:v>1045</c:v>
              </c:pt>
              <c:pt idx="47">
                <c:v>453</c:v>
              </c:pt>
              <c:pt idx="48">
                <c:v>339</c:v>
              </c:pt>
              <c:pt idx="49">
                <c:v>407</c:v>
              </c:pt>
              <c:pt idx="50">
                <c:v>1047</c:v>
              </c:pt>
              <c:pt idx="51">
                <c:v>517</c:v>
              </c:pt>
              <c:pt idx="52">
                <c:v>893</c:v>
              </c:pt>
              <c:pt idx="53">
                <c:v>629</c:v>
              </c:pt>
              <c:pt idx="54">
                <c:v>-219</c:v>
              </c:pt>
              <c:pt idx="55">
                <c:v>1672</c:v>
              </c:pt>
              <c:pt idx="56">
                <c:v>1845</c:v>
              </c:pt>
              <c:pt idx="57">
                <c:v>159</c:v>
              </c:pt>
              <c:pt idx="58">
                <c:v>541</c:v>
              </c:pt>
              <c:pt idx="59">
                <c:v>352</c:v>
              </c:pt>
              <c:pt idx="60">
                <c:v>1325</c:v>
              </c:pt>
              <c:pt idx="61">
                <c:v>76</c:v>
              </c:pt>
              <c:pt idx="62">
                <c:v>1609</c:v>
              </c:pt>
              <c:pt idx="63">
                <c:v>1247</c:v>
              </c:pt>
              <c:pt idx="64">
                <c:v>1572</c:v>
              </c:pt>
              <c:pt idx="65">
                <c:v>377</c:v>
              </c:pt>
              <c:pt idx="66">
                <c:v>666</c:v>
              </c:pt>
              <c:pt idx="67">
                <c:v>1025</c:v>
              </c:pt>
              <c:pt idx="68">
                <c:v>1872</c:v>
              </c:pt>
              <c:pt idx="69">
                <c:v>1224</c:v>
              </c:pt>
              <c:pt idx="70">
                <c:v>262</c:v>
              </c:pt>
              <c:pt idx="71">
                <c:v>576</c:v>
              </c:pt>
              <c:pt idx="72">
                <c:v>1397</c:v>
              </c:pt>
              <c:pt idx="73">
                <c:v>902</c:v>
              </c:pt>
              <c:pt idx="74">
                <c:v>-49</c:v>
              </c:pt>
              <c:pt idx="75">
                <c:v>1693</c:v>
              </c:pt>
              <c:pt idx="76">
                <c:v>1625</c:v>
              </c:pt>
              <c:pt idx="77">
                <c:v>1119</c:v>
              </c:pt>
              <c:pt idx="78">
                <c:v>1432</c:v>
              </c:pt>
              <c:pt idx="79">
                <c:v>684</c:v>
              </c:pt>
              <c:pt idx="80">
                <c:v>1765</c:v>
              </c:pt>
              <c:pt idx="81">
                <c:v>903</c:v>
              </c:pt>
              <c:pt idx="82">
                <c:v>1722</c:v>
              </c:pt>
              <c:pt idx="83">
                <c:v>1572</c:v>
              </c:pt>
              <c:pt idx="84">
                <c:v>-166</c:v>
              </c:pt>
              <c:pt idx="85">
                <c:v>1080</c:v>
              </c:pt>
              <c:pt idx="86">
                <c:v>1723</c:v>
              </c:pt>
              <c:pt idx="87">
                <c:v>965</c:v>
              </c:pt>
              <c:pt idx="88">
                <c:v>1375</c:v>
              </c:pt>
              <c:pt idx="89">
                <c:v>1315</c:v>
              </c:pt>
              <c:pt idx="90">
                <c:v>212</c:v>
              </c:pt>
              <c:pt idx="91">
                <c:v>680</c:v>
              </c:pt>
              <c:pt idx="92">
                <c:v>461</c:v>
              </c:pt>
              <c:pt idx="93">
                <c:v>641</c:v>
              </c:pt>
              <c:pt idx="94">
                <c:v>167</c:v>
              </c:pt>
              <c:pt idx="95">
                <c:v>-160</c:v>
              </c:pt>
              <c:pt idx="96">
                <c:v>603</c:v>
              </c:pt>
              <c:pt idx="97">
                <c:v>1539</c:v>
              </c:pt>
              <c:pt idx="98">
                <c:v>1881</c:v>
              </c:pt>
              <c:pt idx="99">
                <c:v>1656</c:v>
              </c:pt>
              <c:pt idx="100">
                <c:v>415</c:v>
              </c:pt>
              <c:pt idx="101">
                <c:v>186</c:v>
              </c:pt>
              <c:pt idx="102">
                <c:v>1295</c:v>
              </c:pt>
              <c:pt idx="103">
                <c:v>835</c:v>
              </c:pt>
              <c:pt idx="104">
                <c:v>1357</c:v>
              </c:pt>
              <c:pt idx="105">
                <c:v>547</c:v>
              </c:pt>
              <c:pt idx="106">
                <c:v>429</c:v>
              </c:pt>
              <c:pt idx="107">
                <c:v>1316</c:v>
              </c:pt>
              <c:pt idx="108">
                <c:v>1495</c:v>
              </c:pt>
              <c:pt idx="109">
                <c:v>328</c:v>
              </c:pt>
              <c:pt idx="110">
                <c:v>37</c:v>
              </c:pt>
              <c:pt idx="111">
                <c:v>1665</c:v>
              </c:pt>
              <c:pt idx="112">
                <c:v>1229</c:v>
              </c:pt>
              <c:pt idx="113">
                <c:v>197</c:v>
              </c:pt>
              <c:pt idx="114">
                <c:v>260</c:v>
              </c:pt>
              <c:pt idx="115">
                <c:v>1125</c:v>
              </c:pt>
              <c:pt idx="116">
                <c:v>1680</c:v>
              </c:pt>
              <c:pt idx="117">
                <c:v>599</c:v>
              </c:pt>
              <c:pt idx="118">
                <c:v>107</c:v>
              </c:pt>
              <c:pt idx="119">
                <c:v>-20</c:v>
              </c:pt>
              <c:pt idx="120">
                <c:v>636</c:v>
              </c:pt>
              <c:pt idx="121">
                <c:v>37</c:v>
              </c:pt>
              <c:pt idx="122">
                <c:v>1603</c:v>
              </c:pt>
              <c:pt idx="123">
                <c:v>1150</c:v>
              </c:pt>
              <c:pt idx="124">
                <c:v>445</c:v>
              </c:pt>
              <c:pt idx="125">
                <c:v>98</c:v>
              </c:pt>
              <c:pt idx="126">
                <c:v>1173</c:v>
              </c:pt>
              <c:pt idx="127">
                <c:v>1727</c:v>
              </c:pt>
              <c:pt idx="128">
                <c:v>1359</c:v>
              </c:pt>
              <c:pt idx="129">
                <c:v>911</c:v>
              </c:pt>
              <c:pt idx="130">
                <c:v>1529</c:v>
              </c:pt>
              <c:pt idx="131">
                <c:v>1188</c:v>
              </c:pt>
              <c:pt idx="132">
                <c:v>-144</c:v>
              </c:pt>
              <c:pt idx="133">
                <c:v>891</c:v>
              </c:pt>
              <c:pt idx="134">
                <c:v>1426</c:v>
              </c:pt>
              <c:pt idx="135">
                <c:v>569</c:v>
              </c:pt>
              <c:pt idx="136">
                <c:v>1202</c:v>
              </c:pt>
              <c:pt idx="137">
                <c:v>-37</c:v>
              </c:pt>
              <c:pt idx="138">
                <c:v>708</c:v>
              </c:pt>
              <c:pt idx="139">
                <c:v>899</c:v>
              </c:pt>
              <c:pt idx="140">
                <c:v>1350</c:v>
              </c:pt>
              <c:pt idx="141">
                <c:v>861</c:v>
              </c:pt>
              <c:pt idx="142">
                <c:v>292</c:v>
              </c:pt>
              <c:pt idx="143">
                <c:v>1676</c:v>
              </c:pt>
              <c:pt idx="144">
                <c:v>1007</c:v>
              </c:pt>
              <c:pt idx="145">
                <c:v>53</c:v>
              </c:pt>
              <c:pt idx="146">
                <c:v>759</c:v>
              </c:pt>
              <c:pt idx="147">
                <c:v>948</c:v>
              </c:pt>
              <c:pt idx="148">
                <c:v>1510</c:v>
              </c:pt>
              <c:pt idx="149">
                <c:v>269</c:v>
              </c:pt>
              <c:pt idx="150">
                <c:v>1090</c:v>
              </c:pt>
              <c:pt idx="151">
                <c:v>994</c:v>
              </c:pt>
              <c:pt idx="152">
                <c:v>337</c:v>
              </c:pt>
              <c:pt idx="153">
                <c:v>-123</c:v>
              </c:pt>
              <c:pt idx="154">
                <c:v>91</c:v>
              </c:pt>
              <c:pt idx="155">
                <c:v>514</c:v>
              </c:pt>
              <c:pt idx="156">
                <c:v>160</c:v>
              </c:pt>
              <c:pt idx="157">
                <c:v>317</c:v>
              </c:pt>
              <c:pt idx="158">
                <c:v>475</c:v>
              </c:pt>
              <c:pt idx="159">
                <c:v>319</c:v>
              </c:pt>
              <c:pt idx="160">
                <c:v>1032</c:v>
              </c:pt>
              <c:pt idx="161">
                <c:v>190</c:v>
              </c:pt>
              <c:pt idx="162">
                <c:v>28</c:v>
              </c:pt>
              <c:pt idx="163">
                <c:v>333</c:v>
              </c:pt>
              <c:pt idx="164">
                <c:v>1100</c:v>
              </c:pt>
              <c:pt idx="165">
                <c:v>-32</c:v>
              </c:pt>
              <c:pt idx="166">
                <c:v>1006</c:v>
              </c:pt>
              <c:pt idx="167">
                <c:v>1706</c:v>
              </c:pt>
              <c:pt idx="168">
                <c:v>118</c:v>
              </c:pt>
              <c:pt idx="169">
                <c:v>367</c:v>
              </c:pt>
              <c:pt idx="170">
                <c:v>1484</c:v>
              </c:pt>
              <c:pt idx="171">
                <c:v>1657</c:v>
              </c:pt>
              <c:pt idx="172">
                <c:v>1044</c:v>
              </c:pt>
              <c:pt idx="173">
                <c:v>349</c:v>
              </c:pt>
              <c:pt idx="174">
                <c:v>60</c:v>
              </c:pt>
              <c:pt idx="175">
                <c:v>885</c:v>
              </c:pt>
              <c:pt idx="176">
                <c:v>291</c:v>
              </c:pt>
              <c:pt idx="177">
                <c:v>573</c:v>
              </c:pt>
              <c:pt idx="178">
                <c:v>876</c:v>
              </c:pt>
              <c:pt idx="179">
                <c:v>1589</c:v>
              </c:pt>
              <c:pt idx="180">
                <c:v>1460</c:v>
              </c:pt>
              <c:pt idx="181">
                <c:v>846</c:v>
              </c:pt>
              <c:pt idx="182">
                <c:v>901</c:v>
              </c:pt>
              <c:pt idx="183">
                <c:v>724</c:v>
              </c:pt>
              <c:pt idx="184">
                <c:v>1225</c:v>
              </c:pt>
              <c:pt idx="185">
                <c:v>-203</c:v>
              </c:pt>
              <c:pt idx="186">
                <c:v>1444</c:v>
              </c:pt>
              <c:pt idx="187">
                <c:v>1175</c:v>
              </c:pt>
              <c:pt idx="188">
                <c:v>1016</c:v>
              </c:pt>
              <c:pt idx="189">
                <c:v>315</c:v>
              </c:pt>
              <c:pt idx="190">
                <c:v>1242</c:v>
              </c:pt>
              <c:pt idx="191">
                <c:v>1385</c:v>
              </c:pt>
              <c:pt idx="192">
                <c:v>389</c:v>
              </c:pt>
              <c:pt idx="193">
                <c:v>1467</c:v>
              </c:pt>
              <c:pt idx="194">
                <c:v>209</c:v>
              </c:pt>
              <c:pt idx="195">
                <c:v>145</c:v>
              </c:pt>
              <c:pt idx="196">
                <c:v>1633</c:v>
              </c:pt>
              <c:pt idx="197">
                <c:v>637</c:v>
              </c:pt>
              <c:pt idx="198">
                <c:v>864</c:v>
              </c:pt>
              <c:pt idx="199">
                <c:v>-337</c:v>
              </c:pt>
            </c:numLit>
          </c:val>
          <c:smooth val="0"/>
          <c:extLst>
            <c:ext xmlns:c16="http://schemas.microsoft.com/office/drawing/2014/chart" uri="{C3380CC4-5D6E-409C-BE32-E72D297353CC}">
              <c16:uniqueId val="{00000000-59A6-4AD1-8036-4D6F2D85314A}"/>
            </c:ext>
          </c:extLst>
        </c:ser>
        <c:dLbls>
          <c:showLegendKey val="0"/>
          <c:showVal val="0"/>
          <c:showCatName val="0"/>
          <c:showSerName val="0"/>
          <c:showPercent val="0"/>
          <c:showBubbleSize val="0"/>
        </c:dLbls>
        <c:marker val="1"/>
        <c:smooth val="0"/>
        <c:axId val="1113754880"/>
        <c:axId val="1113762080"/>
      </c:lineChart>
      <c:catAx>
        <c:axId val="111375488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3762080"/>
        <c:crosses val="autoZero"/>
        <c:auto val="1"/>
        <c:lblAlgn val="ctr"/>
        <c:lblOffset val="100"/>
        <c:noMultiLvlLbl val="0"/>
      </c:catAx>
      <c:valAx>
        <c:axId val="11137620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3754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Average of Engagement_Rate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Facebook</c:v>
              </c:pt>
              <c:pt idx="1">
                <c:v>YouTube</c:v>
              </c:pt>
              <c:pt idx="2">
                <c:v>Instagram</c:v>
              </c:pt>
              <c:pt idx="3">
                <c:v>Twitter</c:v>
              </c:pt>
            </c:strLit>
          </c:cat>
          <c:val>
            <c:numLit>
              <c:formatCode>General</c:formatCode>
              <c:ptCount val="4"/>
              <c:pt idx="0">
                <c:v>5.6486000000000001</c:v>
              </c:pt>
              <c:pt idx="1">
                <c:v>5.5587999999999997</c:v>
              </c:pt>
              <c:pt idx="2">
                <c:v>5.7156000000000002</c:v>
              </c:pt>
              <c:pt idx="3">
                <c:v>5.6558000000000002</c:v>
              </c:pt>
            </c:numLit>
          </c:val>
          <c:extLst>
            <c:ext xmlns:c16="http://schemas.microsoft.com/office/drawing/2014/chart" uri="{C3380CC4-5D6E-409C-BE32-E72D297353CC}">
              <c16:uniqueId val="{00000000-2A69-4886-918A-B482CD617C27}"/>
            </c:ext>
          </c:extLst>
        </c:ser>
        <c:dLbls>
          <c:showLegendKey val="0"/>
          <c:showVal val="1"/>
          <c:showCatName val="0"/>
          <c:showSerName val="0"/>
          <c:showPercent val="0"/>
          <c:showBubbleSize val="0"/>
        </c:dLbls>
        <c:gapWidth val="75"/>
        <c:axId val="1151152799"/>
        <c:axId val="1151154239"/>
      </c:barChart>
      <c:lineChart>
        <c:grouping val="standard"/>
        <c:varyColors val="0"/>
        <c:ser>
          <c:idx val="1"/>
          <c:order val="1"/>
          <c:tx>
            <c:v>Sum of Ad_Spend</c:v>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Facebook</c:v>
              </c:pt>
              <c:pt idx="1">
                <c:v>YouTube</c:v>
              </c:pt>
              <c:pt idx="2">
                <c:v>Instagram</c:v>
              </c:pt>
              <c:pt idx="3">
                <c:v>Twitter</c:v>
              </c:pt>
            </c:strLit>
          </c:cat>
          <c:val>
            <c:numLit>
              <c:formatCode>General</c:formatCode>
              <c:ptCount val="4"/>
              <c:pt idx="0">
                <c:v>1379539</c:v>
              </c:pt>
              <c:pt idx="1">
                <c:v>1228647</c:v>
              </c:pt>
              <c:pt idx="2">
                <c:v>1164373</c:v>
              </c:pt>
              <c:pt idx="3">
                <c:v>1060357</c:v>
              </c:pt>
            </c:numLit>
          </c:val>
          <c:smooth val="0"/>
          <c:extLst>
            <c:ext xmlns:c16="http://schemas.microsoft.com/office/drawing/2014/chart" uri="{C3380CC4-5D6E-409C-BE32-E72D297353CC}">
              <c16:uniqueId val="{00000001-2A69-4886-918A-B482CD617C27}"/>
            </c:ext>
          </c:extLst>
        </c:ser>
        <c:dLbls>
          <c:showLegendKey val="0"/>
          <c:showVal val="1"/>
          <c:showCatName val="0"/>
          <c:showSerName val="0"/>
          <c:showPercent val="0"/>
          <c:showBubbleSize val="0"/>
        </c:dLbls>
        <c:marker val="1"/>
        <c:smooth val="0"/>
        <c:axId val="1151147519"/>
        <c:axId val="1151148479"/>
      </c:lineChart>
      <c:catAx>
        <c:axId val="11511475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1148479"/>
        <c:crosses val="autoZero"/>
        <c:auto val="1"/>
        <c:lblAlgn val="ctr"/>
        <c:lblOffset val="100"/>
        <c:noMultiLvlLbl val="0"/>
      </c:catAx>
      <c:valAx>
        <c:axId val="1151148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1147519"/>
        <c:crosses val="autoZero"/>
        <c:crossBetween val="between"/>
      </c:valAx>
      <c:valAx>
        <c:axId val="115115423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1152799"/>
        <c:crosses val="max"/>
        <c:crossBetween val="between"/>
      </c:valAx>
      <c:catAx>
        <c:axId val="1151152799"/>
        <c:scaling>
          <c:orientation val="minMax"/>
        </c:scaling>
        <c:delete val="1"/>
        <c:axPos val="b"/>
        <c:numFmt formatCode="General" sourceLinked="1"/>
        <c:majorTickMark val="none"/>
        <c:minorTickMark val="none"/>
        <c:tickLblPos val="nextTo"/>
        <c:crossAx val="115115423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231495</xdr:colOff>
      <xdr:row>34</xdr:row>
      <xdr:rowOff>48227</xdr:rowOff>
    </xdr:from>
    <xdr:to>
      <xdr:col>25</xdr:col>
      <xdr:colOff>472635</xdr:colOff>
      <xdr:row>53</xdr:row>
      <xdr:rowOff>144683</xdr:rowOff>
    </xdr:to>
    <xdr:graphicFrame macro="">
      <xdr:nvGraphicFramePr>
        <xdr:cNvPr id="3" name="Chart 2">
          <a:extLst>
            <a:ext uri="{FF2B5EF4-FFF2-40B4-BE49-F238E27FC236}">
              <a16:creationId xmlns:a16="http://schemas.microsoft.com/office/drawing/2014/main" id="{7CCDB78E-E610-4F39-BB08-7540C1F0B4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62</xdr:row>
      <xdr:rowOff>0</xdr:rowOff>
    </xdr:from>
    <xdr:to>
      <xdr:col>40</xdr:col>
      <xdr:colOff>78971</xdr:colOff>
      <xdr:row>98</xdr:row>
      <xdr:rowOff>55417</xdr:rowOff>
    </xdr:to>
    <xdr:graphicFrame macro="">
      <xdr:nvGraphicFramePr>
        <xdr:cNvPr id="2" name="Chart 1">
          <a:extLst>
            <a:ext uri="{FF2B5EF4-FFF2-40B4-BE49-F238E27FC236}">
              <a16:creationId xmlns:a16="http://schemas.microsoft.com/office/drawing/2014/main" id="{3BAED1FB-7AC2-4F8B-A155-3F39B19E31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114300</xdr:colOff>
      <xdr:row>9</xdr:row>
      <xdr:rowOff>110490</xdr:rowOff>
    </xdr:from>
    <xdr:to>
      <xdr:col>10</xdr:col>
      <xdr:colOff>350520</xdr:colOff>
      <xdr:row>24</xdr:row>
      <xdr:rowOff>110490</xdr:rowOff>
    </xdr:to>
    <xdr:graphicFrame macro="">
      <xdr:nvGraphicFramePr>
        <xdr:cNvPr id="3" name="Chart 2">
          <a:extLst>
            <a:ext uri="{FF2B5EF4-FFF2-40B4-BE49-F238E27FC236}">
              <a16:creationId xmlns:a16="http://schemas.microsoft.com/office/drawing/2014/main" id="{C8F163DC-AD04-4AD5-8261-2E3FE7DD3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itta\Downloads\Myntra_Social_Media_Analytics%20(3).xlsx" TargetMode="External"/><Relationship Id="rId1" Type="http://schemas.openxmlformats.org/officeDocument/2006/relationships/externalLinkPath" Target="file:///C:\Users\mitta\Downloads\Myntra_Social_Media_Analytics%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p 10 posts"/>
      <sheetName val="Platform+content Type"/>
      <sheetName val="hashtags"/>
      <sheetName val="Content Type vs Platform"/>
      <sheetName val="After campaign engagement rate"/>
      <sheetName val="Before campaign engagement Rate"/>
      <sheetName val="Post"/>
      <sheetName val=" Engagement vs Ad Spend"/>
      <sheetName val="Followers fluctuation platforms"/>
      <sheetName val="Actual Vs moving Averge"/>
      <sheetName val="Ad Spend vs Net_Followers"/>
      <sheetName val="adspend vsnet follwers chart"/>
      <sheetName val="Follower growth week platform"/>
      <sheetName val="Engagment Summary"/>
      <sheetName val="Follower growth by campaign"/>
      <sheetName val="Campaign Data"/>
      <sheetName val="Campaign summary pvt"/>
      <sheetName val="Campaign Uplift"/>
    </sheetNames>
    <sheetDataSet>
      <sheetData sheetId="0"/>
      <sheetData sheetId="1"/>
      <sheetData sheetId="2"/>
      <sheetData sheetId="3"/>
      <sheetData sheetId="4"/>
      <sheetData sheetId="5"/>
      <sheetData sheetId="6"/>
      <sheetData sheetId="7"/>
      <sheetData sheetId="8"/>
      <sheetData sheetId="9"/>
      <sheetData sheetId="10"/>
      <sheetData sheetId="11">
        <row r="1">
          <cell r="C1" t="str">
            <v>sum of adspend</v>
          </cell>
          <cell r="D1" t="str">
            <v>sum of engagement rate</v>
          </cell>
        </row>
        <row r="2">
          <cell r="B2">
            <v>3034839</v>
          </cell>
          <cell r="C2">
            <v>98241</v>
          </cell>
          <cell r="D2">
            <v>704.57000000000016</v>
          </cell>
        </row>
        <row r="3">
          <cell r="B3">
            <v>307396</v>
          </cell>
          <cell r="C3">
            <v>13452</v>
          </cell>
          <cell r="D3">
            <v>88.460000000000008</v>
          </cell>
        </row>
        <row r="4">
          <cell r="B4">
            <v>72893</v>
          </cell>
          <cell r="C4">
            <v>3554</v>
          </cell>
          <cell r="D4">
            <v>25.46</v>
          </cell>
        </row>
        <row r="5">
          <cell r="B5">
            <v>9566</v>
          </cell>
          <cell r="C5">
            <v>1002</v>
          </cell>
          <cell r="D5">
            <v>4.9800000000000004</v>
          </cell>
        </row>
        <row r="6">
          <cell r="B6">
            <v>5904</v>
          </cell>
          <cell r="C6">
            <v>1047</v>
          </cell>
          <cell r="D6">
            <v>8.06</v>
          </cell>
        </row>
        <row r="7">
          <cell r="B7">
            <v>26752</v>
          </cell>
          <cell r="C7">
            <v>415</v>
          </cell>
          <cell r="D7">
            <v>8.31</v>
          </cell>
        </row>
        <row r="8">
          <cell r="B8">
            <v>30671</v>
          </cell>
          <cell r="C8">
            <v>1090</v>
          </cell>
          <cell r="D8">
            <v>4.1100000000000003</v>
          </cell>
        </row>
        <row r="9">
          <cell r="B9">
            <v>47961</v>
          </cell>
          <cell r="C9">
            <v>2980</v>
          </cell>
          <cell r="D9">
            <v>18.590000000000003</v>
          </cell>
        </row>
        <row r="10">
          <cell r="B10">
            <v>7924</v>
          </cell>
          <cell r="C10">
            <v>1283</v>
          </cell>
          <cell r="D10">
            <v>2.37</v>
          </cell>
        </row>
        <row r="11">
          <cell r="B11">
            <v>9920</v>
          </cell>
          <cell r="C11">
            <v>517</v>
          </cell>
          <cell r="D11">
            <v>9.0500000000000007</v>
          </cell>
        </row>
        <row r="12">
          <cell r="B12">
            <v>8912</v>
          </cell>
          <cell r="C12">
            <v>186</v>
          </cell>
          <cell r="D12">
            <v>4.01</v>
          </cell>
        </row>
        <row r="13">
          <cell r="B13">
            <v>21205</v>
          </cell>
          <cell r="C13">
            <v>994</v>
          </cell>
          <cell r="D13">
            <v>3.16</v>
          </cell>
        </row>
        <row r="14">
          <cell r="B14">
            <v>104794</v>
          </cell>
          <cell r="C14">
            <v>3907</v>
          </cell>
          <cell r="D14">
            <v>22.25</v>
          </cell>
        </row>
        <row r="15">
          <cell r="B15">
            <v>46670</v>
          </cell>
          <cell r="C15">
            <v>1382</v>
          </cell>
          <cell r="D15">
            <v>8.11</v>
          </cell>
        </row>
        <row r="16">
          <cell r="B16">
            <v>11329</v>
          </cell>
          <cell r="C16">
            <v>893</v>
          </cell>
          <cell r="D16">
            <v>2.46</v>
          </cell>
        </row>
        <row r="17">
          <cell r="B17">
            <v>22482</v>
          </cell>
          <cell r="C17">
            <v>1295</v>
          </cell>
          <cell r="D17">
            <v>8.19</v>
          </cell>
        </row>
        <row r="18">
          <cell r="B18">
            <v>24313</v>
          </cell>
          <cell r="C18">
            <v>337</v>
          </cell>
          <cell r="D18">
            <v>3.49</v>
          </cell>
        </row>
        <row r="19">
          <cell r="B19">
            <v>81748</v>
          </cell>
          <cell r="C19">
            <v>3011</v>
          </cell>
          <cell r="D19">
            <v>22.16</v>
          </cell>
        </row>
        <row r="20">
          <cell r="B20">
            <v>30635</v>
          </cell>
          <cell r="C20">
            <v>1670</v>
          </cell>
          <cell r="D20">
            <v>9.1199999999999992</v>
          </cell>
        </row>
        <row r="21">
          <cell r="B21">
            <v>18050</v>
          </cell>
          <cell r="C21">
            <v>629</v>
          </cell>
          <cell r="D21">
            <v>6.92</v>
          </cell>
        </row>
        <row r="22">
          <cell r="B22">
            <v>31280</v>
          </cell>
          <cell r="C22">
            <v>835</v>
          </cell>
          <cell r="D22">
            <v>3.5</v>
          </cell>
        </row>
        <row r="23">
          <cell r="B23">
            <v>1783</v>
          </cell>
          <cell r="C23">
            <v>-123</v>
          </cell>
          <cell r="D23">
            <v>2.62</v>
          </cell>
        </row>
        <row r="24">
          <cell r="B24">
            <v>461093</v>
          </cell>
          <cell r="C24">
            <v>11551</v>
          </cell>
          <cell r="D24">
            <v>116.46000000000001</v>
          </cell>
        </row>
        <row r="25">
          <cell r="B25">
            <v>87847</v>
          </cell>
          <cell r="C25">
            <v>1293</v>
          </cell>
          <cell r="D25">
            <v>28.75</v>
          </cell>
        </row>
        <row r="26">
          <cell r="B26">
            <v>42307</v>
          </cell>
          <cell r="C26">
            <v>64</v>
          </cell>
          <cell r="D26">
            <v>4.4800000000000004</v>
          </cell>
        </row>
        <row r="27">
          <cell r="B27">
            <v>9566</v>
          </cell>
          <cell r="C27">
            <v>-219</v>
          </cell>
          <cell r="D27">
            <v>9.36</v>
          </cell>
        </row>
        <row r="28">
          <cell r="B28">
            <v>5914</v>
          </cell>
          <cell r="C28">
            <v>1357</v>
          </cell>
          <cell r="D28">
            <v>6.19</v>
          </cell>
        </row>
        <row r="29">
          <cell r="B29">
            <v>30060</v>
          </cell>
          <cell r="C29">
            <v>91</v>
          </cell>
          <cell r="D29">
            <v>8.7200000000000006</v>
          </cell>
        </row>
        <row r="30">
          <cell r="B30">
            <v>79341</v>
          </cell>
          <cell r="C30">
            <v>3042</v>
          </cell>
          <cell r="D30">
            <v>18.190000000000001</v>
          </cell>
        </row>
        <row r="31">
          <cell r="B31">
            <v>38610</v>
          </cell>
          <cell r="C31">
            <v>309</v>
          </cell>
          <cell r="D31">
            <v>1.91</v>
          </cell>
        </row>
        <row r="32">
          <cell r="B32">
            <v>22728</v>
          </cell>
          <cell r="C32">
            <v>1672</v>
          </cell>
          <cell r="D32">
            <v>8.74</v>
          </cell>
        </row>
        <row r="33">
          <cell r="B33">
            <v>2932</v>
          </cell>
          <cell r="C33">
            <v>547</v>
          </cell>
          <cell r="D33">
            <v>4.66</v>
          </cell>
        </row>
        <row r="34">
          <cell r="B34">
            <v>15071</v>
          </cell>
          <cell r="C34">
            <v>514</v>
          </cell>
          <cell r="D34">
            <v>2.88</v>
          </cell>
        </row>
        <row r="35">
          <cell r="B35">
            <v>115027</v>
          </cell>
          <cell r="C35">
            <v>2270</v>
          </cell>
          <cell r="D35">
            <v>23.3</v>
          </cell>
        </row>
        <row r="36">
          <cell r="B36">
            <v>43420</v>
          </cell>
          <cell r="C36">
            <v>-164</v>
          </cell>
          <cell r="D36">
            <v>6.44</v>
          </cell>
        </row>
        <row r="37">
          <cell r="B37">
            <v>10740</v>
          </cell>
          <cell r="C37">
            <v>1845</v>
          </cell>
          <cell r="D37">
            <v>3.74</v>
          </cell>
        </row>
        <row r="38">
          <cell r="B38">
            <v>32393</v>
          </cell>
          <cell r="C38">
            <v>429</v>
          </cell>
          <cell r="D38">
            <v>8.56</v>
          </cell>
        </row>
        <row r="39">
          <cell r="B39">
            <v>28474</v>
          </cell>
          <cell r="C39">
            <v>160</v>
          </cell>
          <cell r="D39">
            <v>4.5599999999999996</v>
          </cell>
        </row>
        <row r="40">
          <cell r="B40">
            <v>102610</v>
          </cell>
          <cell r="C40">
            <v>2753</v>
          </cell>
          <cell r="D40">
            <v>26.599999999999998</v>
          </cell>
        </row>
        <row r="41">
          <cell r="B41">
            <v>26067</v>
          </cell>
          <cell r="C41">
            <v>961</v>
          </cell>
          <cell r="D41">
            <v>7.86</v>
          </cell>
        </row>
        <row r="42">
          <cell r="B42">
            <v>17328</v>
          </cell>
          <cell r="C42">
            <v>159</v>
          </cell>
          <cell r="D42">
            <v>7.88</v>
          </cell>
        </row>
        <row r="43">
          <cell r="B43">
            <v>32763</v>
          </cell>
          <cell r="C43">
            <v>1316</v>
          </cell>
          <cell r="D43">
            <v>5.34</v>
          </cell>
        </row>
        <row r="44">
          <cell r="B44">
            <v>26452</v>
          </cell>
          <cell r="C44">
            <v>317</v>
          </cell>
          <cell r="D44">
            <v>5.52</v>
          </cell>
        </row>
        <row r="45">
          <cell r="B45">
            <v>76268</v>
          </cell>
          <cell r="C45">
            <v>2193</v>
          </cell>
          <cell r="D45">
            <v>19.62</v>
          </cell>
        </row>
        <row r="46">
          <cell r="B46">
            <v>4839</v>
          </cell>
          <cell r="C46">
            <v>-318</v>
          </cell>
          <cell r="D46">
            <v>7.73</v>
          </cell>
        </row>
        <row r="47">
          <cell r="B47">
            <v>15353</v>
          </cell>
          <cell r="C47">
            <v>541</v>
          </cell>
          <cell r="D47">
            <v>4.05</v>
          </cell>
        </row>
        <row r="48">
          <cell r="B48">
            <v>39272</v>
          </cell>
          <cell r="C48">
            <v>1495</v>
          </cell>
          <cell r="D48">
            <v>4.3600000000000003</v>
          </cell>
        </row>
        <row r="49">
          <cell r="B49">
            <v>16804</v>
          </cell>
          <cell r="C49">
            <v>475</v>
          </cell>
          <cell r="D49">
            <v>3.48</v>
          </cell>
        </row>
        <row r="50">
          <cell r="B50">
            <v>439593</v>
          </cell>
          <cell r="C50">
            <v>10422</v>
          </cell>
          <cell r="D50">
            <v>105.63</v>
          </cell>
        </row>
        <row r="51">
          <cell r="B51">
            <v>137514</v>
          </cell>
          <cell r="C51">
            <v>802</v>
          </cell>
          <cell r="D51">
            <v>27.41</v>
          </cell>
        </row>
        <row r="52">
          <cell r="B52">
            <v>26455</v>
          </cell>
          <cell r="C52">
            <v>-197</v>
          </cell>
          <cell r="D52">
            <v>6.11</v>
          </cell>
        </row>
        <row r="53">
          <cell r="B53">
            <v>49303</v>
          </cell>
          <cell r="C53">
            <v>352</v>
          </cell>
          <cell r="D53">
            <v>7.83</v>
          </cell>
        </row>
        <row r="54">
          <cell r="B54">
            <v>12384</v>
          </cell>
          <cell r="C54">
            <v>328</v>
          </cell>
          <cell r="D54">
            <v>9.43</v>
          </cell>
        </row>
        <row r="55">
          <cell r="B55">
            <v>49372</v>
          </cell>
          <cell r="C55">
            <v>319</v>
          </cell>
          <cell r="D55">
            <v>4.04</v>
          </cell>
        </row>
        <row r="56">
          <cell r="B56">
            <v>125177</v>
          </cell>
          <cell r="C56">
            <v>3728</v>
          </cell>
          <cell r="D56">
            <v>26.21</v>
          </cell>
        </row>
        <row r="57">
          <cell r="B57">
            <v>37903</v>
          </cell>
          <cell r="C57">
            <v>1334</v>
          </cell>
          <cell r="D57">
            <v>6.01</v>
          </cell>
        </row>
        <row r="58">
          <cell r="B58">
            <v>47101</v>
          </cell>
          <cell r="C58">
            <v>1325</v>
          </cell>
          <cell r="D58">
            <v>6.23</v>
          </cell>
        </row>
        <row r="59">
          <cell r="B59">
            <v>33258</v>
          </cell>
          <cell r="C59">
            <v>37</v>
          </cell>
          <cell r="D59">
            <v>8.5500000000000007</v>
          </cell>
        </row>
        <row r="60">
          <cell r="B60">
            <v>6915</v>
          </cell>
          <cell r="C60">
            <v>1032</v>
          </cell>
          <cell r="D60">
            <v>5.42</v>
          </cell>
        </row>
        <row r="61">
          <cell r="B61">
            <v>82193</v>
          </cell>
          <cell r="C61">
            <v>2989</v>
          </cell>
          <cell r="D61">
            <v>25.52</v>
          </cell>
        </row>
        <row r="62">
          <cell r="B62">
            <v>14203</v>
          </cell>
          <cell r="C62">
            <v>1058</v>
          </cell>
          <cell r="D62">
            <v>8.84</v>
          </cell>
        </row>
        <row r="63">
          <cell r="B63">
            <v>35501</v>
          </cell>
          <cell r="C63">
            <v>76</v>
          </cell>
          <cell r="D63">
            <v>3.25</v>
          </cell>
        </row>
        <row r="64">
          <cell r="B64">
            <v>22206</v>
          </cell>
          <cell r="C64">
            <v>1665</v>
          </cell>
          <cell r="D64">
            <v>7.24</v>
          </cell>
        </row>
        <row r="65">
          <cell r="B65">
            <v>10283</v>
          </cell>
          <cell r="C65">
            <v>190</v>
          </cell>
          <cell r="D65">
            <v>6.19</v>
          </cell>
        </row>
        <row r="66">
          <cell r="B66">
            <v>94709</v>
          </cell>
          <cell r="C66">
            <v>2903</v>
          </cell>
          <cell r="D66">
            <v>26.490000000000002</v>
          </cell>
        </row>
        <row r="67">
          <cell r="B67">
            <v>26925</v>
          </cell>
          <cell r="C67">
            <v>37</v>
          </cell>
          <cell r="D67">
            <v>9.0399999999999991</v>
          </cell>
        </row>
        <row r="68">
          <cell r="B68">
            <v>24913</v>
          </cell>
          <cell r="C68">
            <v>1609</v>
          </cell>
          <cell r="D68">
            <v>5.71</v>
          </cell>
        </row>
        <row r="69">
          <cell r="B69">
            <v>9942</v>
          </cell>
          <cell r="C69">
            <v>1229</v>
          </cell>
          <cell r="D69">
            <v>3.91</v>
          </cell>
        </row>
        <row r="70">
          <cell r="B70">
            <v>32929</v>
          </cell>
          <cell r="C70">
            <v>28</v>
          </cell>
          <cell r="D70">
            <v>7.83</v>
          </cell>
        </row>
        <row r="71">
          <cell r="B71">
            <v>456377</v>
          </cell>
          <cell r="C71">
            <v>15234</v>
          </cell>
          <cell r="D71">
            <v>120.14</v>
          </cell>
        </row>
        <row r="72">
          <cell r="B72">
            <v>100656</v>
          </cell>
          <cell r="C72">
            <v>2822</v>
          </cell>
          <cell r="D72">
            <v>25.45</v>
          </cell>
        </row>
        <row r="73">
          <cell r="B73">
            <v>24384</v>
          </cell>
          <cell r="C73">
            <v>1045</v>
          </cell>
          <cell r="D73">
            <v>6.41</v>
          </cell>
        </row>
        <row r="74">
          <cell r="B74">
            <v>37829</v>
          </cell>
          <cell r="C74">
            <v>1247</v>
          </cell>
          <cell r="D74">
            <v>7.16</v>
          </cell>
        </row>
        <row r="75">
          <cell r="B75">
            <v>25797</v>
          </cell>
          <cell r="C75">
            <v>197</v>
          </cell>
          <cell r="D75">
            <v>8.02</v>
          </cell>
        </row>
        <row r="76">
          <cell r="B76">
            <v>12646</v>
          </cell>
          <cell r="C76">
            <v>333</v>
          </cell>
          <cell r="D76">
            <v>3.86</v>
          </cell>
        </row>
        <row r="77">
          <cell r="B77">
            <v>92834</v>
          </cell>
          <cell r="C77">
            <v>4360</v>
          </cell>
          <cell r="D77">
            <v>29.08</v>
          </cell>
        </row>
        <row r="78">
          <cell r="B78">
            <v>40478</v>
          </cell>
          <cell r="C78">
            <v>1428</v>
          </cell>
          <cell r="D78">
            <v>1.76</v>
          </cell>
        </row>
        <row r="79">
          <cell r="B79">
            <v>26663</v>
          </cell>
          <cell r="C79">
            <v>1572</v>
          </cell>
          <cell r="D79">
            <v>9.09</v>
          </cell>
        </row>
        <row r="80">
          <cell r="B80">
            <v>15476</v>
          </cell>
          <cell r="C80">
            <v>260</v>
          </cell>
          <cell r="D80">
            <v>9.24</v>
          </cell>
        </row>
        <row r="81">
          <cell r="B81">
            <v>10217</v>
          </cell>
          <cell r="C81">
            <v>1100</v>
          </cell>
          <cell r="D81">
            <v>8.99</v>
          </cell>
        </row>
        <row r="82">
          <cell r="B82">
            <v>105113</v>
          </cell>
          <cell r="C82">
            <v>1568</v>
          </cell>
          <cell r="D82">
            <v>24.689999999999998</v>
          </cell>
        </row>
        <row r="83">
          <cell r="B83">
            <v>47462</v>
          </cell>
          <cell r="C83">
            <v>98</v>
          </cell>
          <cell r="D83">
            <v>9.1999999999999993</v>
          </cell>
        </row>
        <row r="84">
          <cell r="B84">
            <v>21939</v>
          </cell>
          <cell r="C84">
            <v>377</v>
          </cell>
          <cell r="D84">
            <v>3.4</v>
          </cell>
        </row>
        <row r="85">
          <cell r="B85">
            <v>30270</v>
          </cell>
          <cell r="C85">
            <v>1125</v>
          </cell>
          <cell r="D85">
            <v>8.59</v>
          </cell>
        </row>
        <row r="86">
          <cell r="B86">
            <v>5442</v>
          </cell>
          <cell r="C86">
            <v>-32</v>
          </cell>
          <cell r="D86">
            <v>3.5</v>
          </cell>
        </row>
        <row r="87">
          <cell r="B87">
            <v>75885</v>
          </cell>
          <cell r="C87">
            <v>3333</v>
          </cell>
          <cell r="D87">
            <v>26.400000000000006</v>
          </cell>
        </row>
        <row r="88">
          <cell r="B88">
            <v>11901</v>
          </cell>
          <cell r="C88">
            <v>-19</v>
          </cell>
          <cell r="D88">
            <v>7.36</v>
          </cell>
        </row>
        <row r="89">
          <cell r="B89">
            <v>1083</v>
          </cell>
          <cell r="C89">
            <v>666</v>
          </cell>
          <cell r="D89">
            <v>2.36</v>
          </cell>
        </row>
        <row r="90">
          <cell r="B90">
            <v>24018</v>
          </cell>
          <cell r="C90">
            <v>1680</v>
          </cell>
          <cell r="D90">
            <v>8.5500000000000007</v>
          </cell>
        </row>
        <row r="91">
          <cell r="B91">
            <v>38883</v>
          </cell>
          <cell r="C91">
            <v>1006</v>
          </cell>
          <cell r="D91">
            <v>8.1300000000000008</v>
          </cell>
        </row>
        <row r="92">
          <cell r="B92">
            <v>81889</v>
          </cell>
          <cell r="C92">
            <v>3151</v>
          </cell>
          <cell r="D92">
            <v>14.52</v>
          </cell>
        </row>
        <row r="93">
          <cell r="B93">
            <v>2315</v>
          </cell>
          <cell r="C93">
            <v>-179</v>
          </cell>
          <cell r="D93">
            <v>1.77</v>
          </cell>
        </row>
        <row r="94">
          <cell r="B94">
            <v>30575</v>
          </cell>
          <cell r="C94">
            <v>1025</v>
          </cell>
          <cell r="D94">
            <v>3.3</v>
          </cell>
        </row>
        <row r="95">
          <cell r="B95">
            <v>12148</v>
          </cell>
          <cell r="C95">
            <v>599</v>
          </cell>
          <cell r="D95">
            <v>2.09</v>
          </cell>
        </row>
        <row r="96">
          <cell r="B96">
            <v>36851</v>
          </cell>
          <cell r="C96">
            <v>1706</v>
          </cell>
          <cell r="D96">
            <v>7.36</v>
          </cell>
        </row>
        <row r="97">
          <cell r="B97">
            <v>447611</v>
          </cell>
          <cell r="C97">
            <v>11092</v>
          </cell>
          <cell r="D97">
            <v>83.319999999999979</v>
          </cell>
        </row>
        <row r="98">
          <cell r="B98">
            <v>117382</v>
          </cell>
          <cell r="C98">
            <v>3759</v>
          </cell>
          <cell r="D98">
            <v>22.27</v>
          </cell>
        </row>
        <row r="99">
          <cell r="B99">
            <v>43836</v>
          </cell>
          <cell r="C99">
            <v>1662</v>
          </cell>
          <cell r="D99">
            <v>1.75</v>
          </cell>
        </row>
        <row r="100">
          <cell r="B100">
            <v>41215</v>
          </cell>
          <cell r="C100">
            <v>1872</v>
          </cell>
          <cell r="D100">
            <v>6.25</v>
          </cell>
        </row>
        <row r="101">
          <cell r="B101">
            <v>4509</v>
          </cell>
          <cell r="C101">
            <v>107</v>
          </cell>
          <cell r="D101">
            <v>4.97</v>
          </cell>
        </row>
        <row r="102">
          <cell r="B102">
            <v>27822</v>
          </cell>
          <cell r="C102">
            <v>118</v>
          </cell>
          <cell r="D102">
            <v>9.3000000000000007</v>
          </cell>
        </row>
        <row r="103">
          <cell r="B103">
            <v>83598</v>
          </cell>
          <cell r="C103">
            <v>1856</v>
          </cell>
          <cell r="D103">
            <v>20.21</v>
          </cell>
        </row>
        <row r="104">
          <cell r="B104">
            <v>7285</v>
          </cell>
          <cell r="C104">
            <v>285</v>
          </cell>
          <cell r="D104">
            <v>3.88</v>
          </cell>
        </row>
        <row r="105">
          <cell r="B105">
            <v>36397</v>
          </cell>
          <cell r="C105">
            <v>1224</v>
          </cell>
          <cell r="D105">
            <v>8.9</v>
          </cell>
        </row>
        <row r="106">
          <cell r="B106">
            <v>33174</v>
          </cell>
          <cell r="C106">
            <v>-20</v>
          </cell>
          <cell r="D106">
            <v>5.9</v>
          </cell>
        </row>
        <row r="107">
          <cell r="B107">
            <v>6742</v>
          </cell>
          <cell r="C107">
            <v>367</v>
          </cell>
          <cell r="D107">
            <v>1.53</v>
          </cell>
        </row>
        <row r="108">
          <cell r="B108">
            <v>140831</v>
          </cell>
          <cell r="C108">
            <v>2821</v>
          </cell>
          <cell r="D108">
            <v>23.32</v>
          </cell>
        </row>
        <row r="109">
          <cell r="B109">
            <v>42824</v>
          </cell>
          <cell r="C109">
            <v>439</v>
          </cell>
          <cell r="D109">
            <v>3.16</v>
          </cell>
        </row>
        <row r="110">
          <cell r="B110">
            <v>32478</v>
          </cell>
          <cell r="C110">
            <v>262</v>
          </cell>
          <cell r="D110">
            <v>6.5</v>
          </cell>
        </row>
        <row r="111">
          <cell r="B111">
            <v>21208</v>
          </cell>
          <cell r="C111">
            <v>636</v>
          </cell>
          <cell r="D111">
            <v>8.25</v>
          </cell>
        </row>
        <row r="112">
          <cell r="B112">
            <v>44321</v>
          </cell>
          <cell r="C112">
            <v>1484</v>
          </cell>
          <cell r="D112">
            <v>5.41</v>
          </cell>
        </row>
        <row r="113">
          <cell r="B113">
            <v>105800</v>
          </cell>
          <cell r="C113">
            <v>2656</v>
          </cell>
          <cell r="D113">
            <v>17.519999999999996</v>
          </cell>
        </row>
        <row r="114">
          <cell r="B114">
            <v>30214</v>
          </cell>
          <cell r="C114">
            <v>386</v>
          </cell>
          <cell r="D114">
            <v>4.46</v>
          </cell>
        </row>
        <row r="115">
          <cell r="B115">
            <v>13116</v>
          </cell>
          <cell r="C115">
            <v>576</v>
          </cell>
          <cell r="D115">
            <v>5.85</v>
          </cell>
        </row>
        <row r="116">
          <cell r="B116">
            <v>15827</v>
          </cell>
          <cell r="C116">
            <v>37</v>
          </cell>
          <cell r="D116">
            <v>5.22</v>
          </cell>
        </row>
        <row r="117">
          <cell r="B117">
            <v>46643</v>
          </cell>
          <cell r="C117">
            <v>1657</v>
          </cell>
          <cell r="D117">
            <v>1.99</v>
          </cell>
        </row>
        <row r="118">
          <cell r="B118">
            <v>424987</v>
          </cell>
          <cell r="C118">
            <v>11415</v>
          </cell>
          <cell r="D118">
            <v>92.77000000000001</v>
          </cell>
        </row>
        <row r="119">
          <cell r="B119">
            <v>94018</v>
          </cell>
          <cell r="C119">
            <v>4584</v>
          </cell>
          <cell r="D119">
            <v>21.93</v>
          </cell>
        </row>
        <row r="120">
          <cell r="B120">
            <v>4996</v>
          </cell>
          <cell r="C120">
            <v>540</v>
          </cell>
          <cell r="D120">
            <v>3.32</v>
          </cell>
        </row>
        <row r="121">
          <cell r="B121">
            <v>36484</v>
          </cell>
          <cell r="C121">
            <v>1397</v>
          </cell>
          <cell r="D121">
            <v>6.85</v>
          </cell>
        </row>
        <row r="122">
          <cell r="B122">
            <v>36095</v>
          </cell>
          <cell r="C122">
            <v>1603</v>
          </cell>
          <cell r="D122">
            <v>5.68</v>
          </cell>
        </row>
        <row r="123">
          <cell r="B123">
            <v>16443</v>
          </cell>
          <cell r="C123">
            <v>1044</v>
          </cell>
          <cell r="D123">
            <v>6.08</v>
          </cell>
        </row>
        <row r="124">
          <cell r="B124">
            <v>125961</v>
          </cell>
          <cell r="C124">
            <v>2295</v>
          </cell>
          <cell r="D124">
            <v>23.79</v>
          </cell>
        </row>
        <row r="125">
          <cell r="B125">
            <v>38452</v>
          </cell>
          <cell r="C125">
            <v>-106</v>
          </cell>
          <cell r="D125">
            <v>8.6999999999999993</v>
          </cell>
        </row>
        <row r="126">
          <cell r="B126">
            <v>47812</v>
          </cell>
          <cell r="C126">
            <v>902</v>
          </cell>
          <cell r="D126">
            <v>4.66</v>
          </cell>
        </row>
        <row r="127">
          <cell r="B127">
            <v>30428</v>
          </cell>
          <cell r="C127">
            <v>1150</v>
          </cell>
          <cell r="D127">
            <v>2.46</v>
          </cell>
        </row>
        <row r="128">
          <cell r="B128">
            <v>9269</v>
          </cell>
          <cell r="C128">
            <v>349</v>
          </cell>
          <cell r="D128">
            <v>7.97</v>
          </cell>
        </row>
        <row r="129">
          <cell r="B129">
            <v>97294</v>
          </cell>
          <cell r="C129">
            <v>528</v>
          </cell>
          <cell r="D129">
            <v>24.09</v>
          </cell>
        </row>
        <row r="130">
          <cell r="B130">
            <v>39997</v>
          </cell>
          <cell r="C130">
            <v>72</v>
          </cell>
          <cell r="D130">
            <v>2.68</v>
          </cell>
        </row>
        <row r="131">
          <cell r="B131">
            <v>29533</v>
          </cell>
          <cell r="C131">
            <v>-49</v>
          </cell>
          <cell r="D131">
            <v>9.41</v>
          </cell>
        </row>
        <row r="132">
          <cell r="B132">
            <v>5391</v>
          </cell>
          <cell r="C132">
            <v>445</v>
          </cell>
          <cell r="D132">
            <v>7.32</v>
          </cell>
        </row>
        <row r="133">
          <cell r="B133">
            <v>22373</v>
          </cell>
          <cell r="C133">
            <v>60</v>
          </cell>
          <cell r="D133">
            <v>4.68</v>
          </cell>
        </row>
        <row r="134">
          <cell r="B134">
            <v>107714</v>
          </cell>
          <cell r="C134">
            <v>4008</v>
          </cell>
          <cell r="D134">
            <v>22.96</v>
          </cell>
        </row>
        <row r="135">
          <cell r="B135">
            <v>28498</v>
          </cell>
          <cell r="C135">
            <v>1332</v>
          </cell>
          <cell r="D135">
            <v>6.2</v>
          </cell>
        </row>
        <row r="136">
          <cell r="B136">
            <v>1810</v>
          </cell>
          <cell r="C136">
            <v>1693</v>
          </cell>
          <cell r="D136">
            <v>5.17</v>
          </cell>
        </row>
        <row r="137">
          <cell r="B137">
            <v>39530</v>
          </cell>
          <cell r="C137">
            <v>98</v>
          </cell>
          <cell r="D137">
            <v>2.69</v>
          </cell>
        </row>
        <row r="138">
          <cell r="B138">
            <v>37876</v>
          </cell>
          <cell r="C138">
            <v>885</v>
          </cell>
          <cell r="D138">
            <v>8.9</v>
          </cell>
        </row>
        <row r="139">
          <cell r="B139">
            <v>497782</v>
          </cell>
          <cell r="C139">
            <v>25075</v>
          </cell>
          <cell r="D139">
            <v>97.79</v>
          </cell>
        </row>
        <row r="140">
          <cell r="B140">
            <v>106549</v>
          </cell>
          <cell r="C140">
            <v>4795</v>
          </cell>
          <cell r="D140">
            <v>17.599999999999998</v>
          </cell>
        </row>
        <row r="141">
          <cell r="B141">
            <v>26103</v>
          </cell>
          <cell r="C141">
            <v>1706</v>
          </cell>
          <cell r="D141">
            <v>4.79</v>
          </cell>
        </row>
        <row r="142">
          <cell r="B142">
            <v>36103</v>
          </cell>
          <cell r="C142">
            <v>1625</v>
          </cell>
          <cell r="D142">
            <v>3.79</v>
          </cell>
        </row>
        <row r="143">
          <cell r="B143">
            <v>3455</v>
          </cell>
          <cell r="C143">
            <v>1173</v>
          </cell>
          <cell r="D143">
            <v>6.37</v>
          </cell>
        </row>
        <row r="144">
          <cell r="B144">
            <v>40888</v>
          </cell>
          <cell r="C144">
            <v>291</v>
          </cell>
          <cell r="D144">
            <v>2.65</v>
          </cell>
        </row>
        <row r="145">
          <cell r="B145">
            <v>108811</v>
          </cell>
          <cell r="C145">
            <v>4792</v>
          </cell>
          <cell r="D145">
            <v>18.91</v>
          </cell>
        </row>
        <row r="146">
          <cell r="B146">
            <v>18601</v>
          </cell>
          <cell r="C146">
            <v>1373</v>
          </cell>
          <cell r="D146">
            <v>7.47</v>
          </cell>
        </row>
        <row r="147">
          <cell r="B147">
            <v>22724</v>
          </cell>
          <cell r="C147">
            <v>1119</v>
          </cell>
          <cell r="D147">
            <v>1.81</v>
          </cell>
        </row>
        <row r="148">
          <cell r="B148">
            <v>20861</v>
          </cell>
          <cell r="C148">
            <v>1727</v>
          </cell>
          <cell r="D148">
            <v>4.2</v>
          </cell>
        </row>
        <row r="149">
          <cell r="B149">
            <v>46625</v>
          </cell>
          <cell r="C149">
            <v>573</v>
          </cell>
          <cell r="D149">
            <v>5.43</v>
          </cell>
        </row>
        <row r="150">
          <cell r="B150">
            <v>102222</v>
          </cell>
          <cell r="C150">
            <v>5044</v>
          </cell>
          <cell r="D150">
            <v>26.18</v>
          </cell>
        </row>
        <row r="151">
          <cell r="B151">
            <v>18656</v>
          </cell>
          <cell r="C151">
            <v>1377</v>
          </cell>
          <cell r="D151">
            <v>8.11</v>
          </cell>
        </row>
        <row r="152">
          <cell r="B152">
            <v>20692</v>
          </cell>
          <cell r="C152">
            <v>1432</v>
          </cell>
          <cell r="D152">
            <v>3.32</v>
          </cell>
        </row>
        <row r="153">
          <cell r="B153">
            <v>13316</v>
          </cell>
          <cell r="C153">
            <v>1359</v>
          </cell>
          <cell r="D153">
            <v>6.66</v>
          </cell>
        </row>
        <row r="154">
          <cell r="B154">
            <v>49558</v>
          </cell>
          <cell r="C154">
            <v>876</v>
          </cell>
          <cell r="D154">
            <v>8.09</v>
          </cell>
        </row>
        <row r="155">
          <cell r="B155">
            <v>101698</v>
          </cell>
          <cell r="C155">
            <v>3914</v>
          </cell>
          <cell r="D155">
            <v>21.09</v>
          </cell>
        </row>
        <row r="156">
          <cell r="B156">
            <v>47502</v>
          </cell>
          <cell r="C156">
            <v>730</v>
          </cell>
          <cell r="D156">
            <v>2.02</v>
          </cell>
        </row>
        <row r="157">
          <cell r="B157">
            <v>4683</v>
          </cell>
          <cell r="C157">
            <v>684</v>
          </cell>
          <cell r="D157">
            <v>8.44</v>
          </cell>
        </row>
        <row r="158">
          <cell r="B158">
            <v>35359</v>
          </cell>
          <cell r="C158">
            <v>911</v>
          </cell>
          <cell r="D158">
            <v>7.74</v>
          </cell>
        </row>
        <row r="159">
          <cell r="B159">
            <v>14154</v>
          </cell>
          <cell r="C159">
            <v>1589</v>
          </cell>
          <cell r="D159">
            <v>2.89</v>
          </cell>
        </row>
        <row r="160">
          <cell r="B160">
            <v>78502</v>
          </cell>
          <cell r="C160">
            <v>6530</v>
          </cell>
          <cell r="D160">
            <v>14.01</v>
          </cell>
        </row>
        <row r="161">
          <cell r="B161">
            <v>25140</v>
          </cell>
          <cell r="C161">
            <v>1776</v>
          </cell>
          <cell r="D161">
            <v>3.09</v>
          </cell>
        </row>
        <row r="162">
          <cell r="B162">
            <v>4313</v>
          </cell>
          <cell r="C162">
            <v>1765</v>
          </cell>
          <cell r="D162">
            <v>1.76</v>
          </cell>
        </row>
        <row r="163">
          <cell r="B163">
            <v>9118</v>
          </cell>
          <cell r="C163">
            <v>1529</v>
          </cell>
          <cell r="D163">
            <v>4.68</v>
          </cell>
        </row>
        <row r="164">
          <cell r="B164">
            <v>39931</v>
          </cell>
          <cell r="C164">
            <v>1460</v>
          </cell>
          <cell r="D164">
            <v>4.4800000000000004</v>
          </cell>
        </row>
        <row r="165">
          <cell r="B165">
            <v>1798077</v>
          </cell>
          <cell r="C165">
            <v>61864</v>
          </cell>
          <cell r="D165">
            <v>424.37000000000006</v>
          </cell>
        </row>
        <row r="166">
          <cell r="B166">
            <v>415663</v>
          </cell>
          <cell r="C166">
            <v>13331</v>
          </cell>
          <cell r="D166">
            <v>83.800000000000011</v>
          </cell>
        </row>
        <row r="167">
          <cell r="B167">
            <v>72926</v>
          </cell>
          <cell r="C167">
            <v>3557</v>
          </cell>
          <cell r="D167">
            <v>24.05</v>
          </cell>
        </row>
        <row r="168">
          <cell r="B168">
            <v>17951</v>
          </cell>
          <cell r="C168">
            <v>620</v>
          </cell>
          <cell r="D168">
            <v>8.1999999999999993</v>
          </cell>
        </row>
        <row r="169">
          <cell r="B169">
            <v>37132</v>
          </cell>
          <cell r="C169">
            <v>903</v>
          </cell>
          <cell r="D169">
            <v>5.3</v>
          </cell>
        </row>
        <row r="170">
          <cell r="B170">
            <v>2798</v>
          </cell>
          <cell r="C170">
            <v>1188</v>
          </cell>
          <cell r="D170">
            <v>2.2200000000000002</v>
          </cell>
        </row>
        <row r="171">
          <cell r="B171">
            <v>15045</v>
          </cell>
          <cell r="C171">
            <v>846</v>
          </cell>
          <cell r="D171">
            <v>8.33</v>
          </cell>
        </row>
        <row r="172">
          <cell r="B172">
            <v>113474</v>
          </cell>
          <cell r="C172">
            <v>2777</v>
          </cell>
          <cell r="D172">
            <v>14.760000000000002</v>
          </cell>
        </row>
        <row r="173">
          <cell r="B173">
            <v>45708</v>
          </cell>
          <cell r="C173">
            <v>298</v>
          </cell>
          <cell r="D173">
            <v>5.61</v>
          </cell>
        </row>
        <row r="174">
          <cell r="B174">
            <v>14548</v>
          </cell>
          <cell r="C174">
            <v>1722</v>
          </cell>
          <cell r="D174">
            <v>3.3</v>
          </cell>
        </row>
        <row r="175">
          <cell r="B175">
            <v>12350</v>
          </cell>
          <cell r="C175">
            <v>-144</v>
          </cell>
          <cell r="D175">
            <v>2.56</v>
          </cell>
        </row>
        <row r="176">
          <cell r="B176">
            <v>40868</v>
          </cell>
          <cell r="C176">
            <v>901</v>
          </cell>
          <cell r="D176">
            <v>3.29</v>
          </cell>
        </row>
        <row r="177">
          <cell r="B177">
            <v>120060</v>
          </cell>
          <cell r="C177">
            <v>3614</v>
          </cell>
          <cell r="D177">
            <v>23.66</v>
          </cell>
        </row>
        <row r="178">
          <cell r="B178">
            <v>23853</v>
          </cell>
          <cell r="C178">
            <v>427</v>
          </cell>
          <cell r="D178">
            <v>4.51</v>
          </cell>
        </row>
        <row r="179">
          <cell r="B179">
            <v>43122</v>
          </cell>
          <cell r="C179">
            <v>1572</v>
          </cell>
          <cell r="D179">
            <v>9.24</v>
          </cell>
        </row>
        <row r="180">
          <cell r="B180">
            <v>45380</v>
          </cell>
          <cell r="C180">
            <v>891</v>
          </cell>
          <cell r="D180">
            <v>5.23</v>
          </cell>
        </row>
        <row r="181">
          <cell r="B181">
            <v>7705</v>
          </cell>
          <cell r="C181">
            <v>724</v>
          </cell>
          <cell r="D181">
            <v>4.68</v>
          </cell>
        </row>
        <row r="182">
          <cell r="B182">
            <v>109203</v>
          </cell>
          <cell r="C182">
            <v>3383</v>
          </cell>
          <cell r="D182">
            <v>21.33</v>
          </cell>
        </row>
        <row r="183">
          <cell r="B183">
            <v>20560</v>
          </cell>
          <cell r="C183">
            <v>898</v>
          </cell>
          <cell r="D183">
            <v>6.37</v>
          </cell>
        </row>
        <row r="184">
          <cell r="B184">
            <v>25525</v>
          </cell>
          <cell r="C184">
            <v>-166</v>
          </cell>
          <cell r="D184">
            <v>9.23</v>
          </cell>
        </row>
        <row r="185">
          <cell r="B185">
            <v>19119</v>
          </cell>
          <cell r="C185">
            <v>1426</v>
          </cell>
          <cell r="D185">
            <v>2.0099999999999998</v>
          </cell>
        </row>
        <row r="186">
          <cell r="B186">
            <v>43999</v>
          </cell>
          <cell r="C186">
            <v>1225</v>
          </cell>
          <cell r="D186">
            <v>3.72</v>
          </cell>
        </row>
        <row r="187">
          <cell r="B187">
            <v>468364</v>
          </cell>
          <cell r="C187">
            <v>15974</v>
          </cell>
          <cell r="D187">
            <v>103.33999999999999</v>
          </cell>
        </row>
        <row r="188">
          <cell r="B188">
            <v>117419</v>
          </cell>
          <cell r="C188">
            <v>2194</v>
          </cell>
          <cell r="D188">
            <v>29.02</v>
          </cell>
        </row>
        <row r="189">
          <cell r="B189">
            <v>40323</v>
          </cell>
          <cell r="C189">
            <v>748</v>
          </cell>
          <cell r="D189">
            <v>8.6999999999999993</v>
          </cell>
        </row>
        <row r="190">
          <cell r="B190">
            <v>10825</v>
          </cell>
          <cell r="C190">
            <v>1080</v>
          </cell>
          <cell r="D190">
            <v>3.89</v>
          </cell>
        </row>
        <row r="191">
          <cell r="B191">
            <v>48270</v>
          </cell>
          <cell r="C191">
            <v>569</v>
          </cell>
          <cell r="D191">
            <v>6.95</v>
          </cell>
        </row>
        <row r="192">
          <cell r="B192">
            <v>18001</v>
          </cell>
          <cell r="C192">
            <v>-203</v>
          </cell>
          <cell r="D192">
            <v>9.48</v>
          </cell>
        </row>
        <row r="193">
          <cell r="B193">
            <v>94129</v>
          </cell>
          <cell r="C193">
            <v>5281</v>
          </cell>
          <cell r="D193">
            <v>28.660000000000004</v>
          </cell>
        </row>
        <row r="194">
          <cell r="B194">
            <v>23489</v>
          </cell>
          <cell r="C194">
            <v>912</v>
          </cell>
          <cell r="D194">
            <v>8.0299999999999994</v>
          </cell>
        </row>
        <row r="195">
          <cell r="B195">
            <v>3314</v>
          </cell>
          <cell r="C195">
            <v>1723</v>
          </cell>
          <cell r="D195">
            <v>4.6100000000000003</v>
          </cell>
        </row>
        <row r="196">
          <cell r="B196">
            <v>42832</v>
          </cell>
          <cell r="C196">
            <v>1202</v>
          </cell>
          <cell r="D196">
            <v>6.99</v>
          </cell>
        </row>
        <row r="197">
          <cell r="B197">
            <v>24494</v>
          </cell>
          <cell r="C197">
            <v>1444</v>
          </cell>
          <cell r="D197">
            <v>9.0299999999999994</v>
          </cell>
        </row>
        <row r="198">
          <cell r="B198">
            <v>136582</v>
          </cell>
          <cell r="C198">
            <v>3693</v>
          </cell>
          <cell r="D198">
            <v>23.09</v>
          </cell>
        </row>
        <row r="199">
          <cell r="B199">
            <v>31853</v>
          </cell>
          <cell r="C199">
            <v>1590</v>
          </cell>
          <cell r="D199">
            <v>3.85</v>
          </cell>
        </row>
        <row r="200">
          <cell r="B200">
            <v>44097</v>
          </cell>
          <cell r="C200">
            <v>965</v>
          </cell>
          <cell r="D200">
            <v>2.86</v>
          </cell>
        </row>
        <row r="201">
          <cell r="B201">
            <v>37636</v>
          </cell>
          <cell r="C201">
            <v>-37</v>
          </cell>
          <cell r="D201">
            <v>7.3</v>
          </cell>
        </row>
        <row r="202">
          <cell r="B202">
            <v>22996</v>
          </cell>
          <cell r="C202">
            <v>1175</v>
          </cell>
          <cell r="D202">
            <v>9.08</v>
          </cell>
        </row>
        <row r="203">
          <cell r="B203">
            <v>120234</v>
          </cell>
          <cell r="C203">
            <v>4806</v>
          </cell>
          <cell r="D203">
            <v>22.57</v>
          </cell>
        </row>
        <row r="204">
          <cell r="B204">
            <v>22713</v>
          </cell>
          <cell r="C204">
            <v>1707</v>
          </cell>
          <cell r="D204">
            <v>7.8</v>
          </cell>
        </row>
        <row r="205">
          <cell r="B205">
            <v>49772</v>
          </cell>
          <cell r="C205">
            <v>1375</v>
          </cell>
          <cell r="D205">
            <v>4.34</v>
          </cell>
        </row>
        <row r="206">
          <cell r="B206">
            <v>8718</v>
          </cell>
          <cell r="C206">
            <v>708</v>
          </cell>
          <cell r="D206">
            <v>3.85</v>
          </cell>
        </row>
        <row r="207">
          <cell r="B207">
            <v>39031</v>
          </cell>
          <cell r="C207">
            <v>1016</v>
          </cell>
          <cell r="D207">
            <v>6.58</v>
          </cell>
        </row>
        <row r="208">
          <cell r="B208">
            <v>423771</v>
          </cell>
          <cell r="C208">
            <v>16078</v>
          </cell>
          <cell r="D208">
            <v>127.28</v>
          </cell>
        </row>
        <row r="209">
          <cell r="B209">
            <v>95341</v>
          </cell>
          <cell r="C209">
            <v>2410</v>
          </cell>
          <cell r="D209">
            <v>30.9</v>
          </cell>
        </row>
        <row r="210">
          <cell r="B210">
            <v>20553</v>
          </cell>
          <cell r="C210">
            <v>-119</v>
          </cell>
          <cell r="D210">
            <v>4.55</v>
          </cell>
        </row>
        <row r="211">
          <cell r="B211">
            <v>33799</v>
          </cell>
          <cell r="C211">
            <v>1315</v>
          </cell>
          <cell r="D211">
            <v>8.6199999999999992</v>
          </cell>
        </row>
        <row r="212">
          <cell r="B212">
            <v>10002</v>
          </cell>
          <cell r="C212">
            <v>899</v>
          </cell>
          <cell r="D212">
            <v>8.33</v>
          </cell>
        </row>
        <row r="213">
          <cell r="B213">
            <v>30987</v>
          </cell>
          <cell r="C213">
            <v>315</v>
          </cell>
          <cell r="D213">
            <v>9.4</v>
          </cell>
        </row>
        <row r="214">
          <cell r="B214">
            <v>53940</v>
          </cell>
          <cell r="C214">
            <v>3712</v>
          </cell>
          <cell r="D214">
            <v>27.85</v>
          </cell>
        </row>
        <row r="215">
          <cell r="B215">
            <v>21539</v>
          </cell>
          <cell r="C215">
            <v>908</v>
          </cell>
          <cell r="D215">
            <v>9.39</v>
          </cell>
        </row>
        <row r="216">
          <cell r="B216">
            <v>6296</v>
          </cell>
          <cell r="C216">
            <v>212</v>
          </cell>
          <cell r="D216">
            <v>7.23</v>
          </cell>
        </row>
        <row r="217">
          <cell r="B217">
            <v>14722</v>
          </cell>
          <cell r="C217">
            <v>1350</v>
          </cell>
          <cell r="D217">
            <v>5.12</v>
          </cell>
        </row>
        <row r="218">
          <cell r="B218">
            <v>11383</v>
          </cell>
          <cell r="C218">
            <v>1242</v>
          </cell>
          <cell r="D218">
            <v>6.11</v>
          </cell>
        </row>
        <row r="219">
          <cell r="B219">
            <v>88465</v>
          </cell>
          <cell r="C219">
            <v>4042</v>
          </cell>
          <cell r="D219">
            <v>23.12</v>
          </cell>
        </row>
        <row r="220">
          <cell r="B220">
            <v>29116</v>
          </cell>
          <cell r="C220">
            <v>1116</v>
          </cell>
          <cell r="D220">
            <v>4.9400000000000004</v>
          </cell>
        </row>
        <row r="221">
          <cell r="B221">
            <v>9480</v>
          </cell>
          <cell r="C221">
            <v>680</v>
          </cell>
          <cell r="D221">
            <v>7.74</v>
          </cell>
        </row>
        <row r="222">
          <cell r="B222">
            <v>14068</v>
          </cell>
          <cell r="C222">
            <v>861</v>
          </cell>
          <cell r="D222">
            <v>1.8</v>
          </cell>
        </row>
        <row r="223">
          <cell r="B223">
            <v>35801</v>
          </cell>
          <cell r="C223">
            <v>1385</v>
          </cell>
          <cell r="D223">
            <v>8.64</v>
          </cell>
        </row>
        <row r="224">
          <cell r="B224">
            <v>111650</v>
          </cell>
          <cell r="C224">
            <v>1616</v>
          </cell>
          <cell r="D224">
            <v>17.45</v>
          </cell>
        </row>
        <row r="225">
          <cell r="B225">
            <v>21453</v>
          </cell>
          <cell r="C225">
            <v>474</v>
          </cell>
          <cell r="D225">
            <v>8.52</v>
          </cell>
        </row>
        <row r="226">
          <cell r="B226">
            <v>49077</v>
          </cell>
          <cell r="C226">
            <v>461</v>
          </cell>
          <cell r="D226">
            <v>1.53</v>
          </cell>
        </row>
        <row r="227">
          <cell r="B227">
            <v>21061</v>
          </cell>
          <cell r="C227">
            <v>292</v>
          </cell>
          <cell r="D227">
            <v>5.53</v>
          </cell>
        </row>
        <row r="228">
          <cell r="B228">
            <v>20059</v>
          </cell>
          <cell r="C228">
            <v>389</v>
          </cell>
          <cell r="D228">
            <v>1.87</v>
          </cell>
        </row>
        <row r="229">
          <cell r="B229">
            <v>74375</v>
          </cell>
          <cell r="C229">
            <v>4298</v>
          </cell>
          <cell r="D229">
            <v>27.96</v>
          </cell>
        </row>
        <row r="230">
          <cell r="B230">
            <v>23461</v>
          </cell>
          <cell r="C230">
            <v>514</v>
          </cell>
          <cell r="D230">
            <v>9.4600000000000009</v>
          </cell>
        </row>
        <row r="231">
          <cell r="B231">
            <v>23140</v>
          </cell>
          <cell r="C231">
            <v>641</v>
          </cell>
          <cell r="D231">
            <v>6.27</v>
          </cell>
        </row>
        <row r="232">
          <cell r="B232">
            <v>11805</v>
          </cell>
          <cell r="C232">
            <v>1676</v>
          </cell>
          <cell r="D232">
            <v>7.5</v>
          </cell>
        </row>
        <row r="233">
          <cell r="B233">
            <v>15969</v>
          </cell>
          <cell r="C233">
            <v>1467</v>
          </cell>
          <cell r="D233">
            <v>4.7300000000000004</v>
          </cell>
        </row>
        <row r="234">
          <cell r="B234">
            <v>299166</v>
          </cell>
          <cell r="C234">
            <v>9892</v>
          </cell>
          <cell r="D234">
            <v>69.309999999999988</v>
          </cell>
        </row>
        <row r="235">
          <cell r="B235">
            <v>132926</v>
          </cell>
          <cell r="C235">
            <v>2412</v>
          </cell>
          <cell r="D235">
            <v>16.670000000000002</v>
          </cell>
        </row>
        <row r="236">
          <cell r="B236">
            <v>47603</v>
          </cell>
          <cell r="C236">
            <v>1029</v>
          </cell>
          <cell r="D236">
            <v>2.4900000000000002</v>
          </cell>
        </row>
        <row r="237">
          <cell r="B237">
            <v>2436</v>
          </cell>
          <cell r="C237">
            <v>167</v>
          </cell>
          <cell r="D237">
            <v>3.19</v>
          </cell>
        </row>
        <row r="238">
          <cell r="B238">
            <v>42964</v>
          </cell>
          <cell r="C238">
            <v>1007</v>
          </cell>
          <cell r="D238">
            <v>4.5</v>
          </cell>
        </row>
        <row r="239">
          <cell r="B239">
            <v>39923</v>
          </cell>
          <cell r="C239">
            <v>209</v>
          </cell>
          <cell r="D239">
            <v>6.49</v>
          </cell>
        </row>
        <row r="240">
          <cell r="B240">
            <v>59981</v>
          </cell>
          <cell r="C240">
            <v>-137</v>
          </cell>
          <cell r="D240">
            <v>23.4</v>
          </cell>
        </row>
        <row r="241">
          <cell r="B241">
            <v>25920</v>
          </cell>
          <cell r="C241">
            <v>-175</v>
          </cell>
          <cell r="D241">
            <v>4.83</v>
          </cell>
        </row>
        <row r="242">
          <cell r="B242">
            <v>2293</v>
          </cell>
          <cell r="C242">
            <v>-160</v>
          </cell>
          <cell r="D242">
            <v>6.73</v>
          </cell>
        </row>
        <row r="243">
          <cell r="B243">
            <v>11035</v>
          </cell>
          <cell r="C243">
            <v>53</v>
          </cell>
          <cell r="D243">
            <v>5.3</v>
          </cell>
        </row>
        <row r="244">
          <cell r="B244">
            <v>20733</v>
          </cell>
          <cell r="C244">
            <v>145</v>
          </cell>
          <cell r="D244">
            <v>6.54</v>
          </cell>
        </row>
        <row r="245">
          <cell r="B245">
            <v>49129</v>
          </cell>
          <cell r="C245">
            <v>4040</v>
          </cell>
          <cell r="D245">
            <v>14.93</v>
          </cell>
        </row>
        <row r="246">
          <cell r="B246">
            <v>7875</v>
          </cell>
          <cell r="C246">
            <v>1045</v>
          </cell>
          <cell r="D246">
            <v>2.6</v>
          </cell>
        </row>
        <row r="247">
          <cell r="B247">
            <v>18693</v>
          </cell>
          <cell r="C247">
            <v>603</v>
          </cell>
          <cell r="D247">
            <v>6.8</v>
          </cell>
        </row>
        <row r="248">
          <cell r="B248">
            <v>8471</v>
          </cell>
          <cell r="C248">
            <v>759</v>
          </cell>
          <cell r="D248">
            <v>2.44</v>
          </cell>
        </row>
        <row r="249">
          <cell r="B249">
            <v>14090</v>
          </cell>
          <cell r="C249">
            <v>1633</v>
          </cell>
          <cell r="D249">
            <v>3.09</v>
          </cell>
        </row>
        <row r="250">
          <cell r="B250">
            <v>57130</v>
          </cell>
          <cell r="C250">
            <v>3577</v>
          </cell>
          <cell r="D250">
            <v>14.31</v>
          </cell>
        </row>
        <row r="251">
          <cell r="B251">
            <v>3582</v>
          </cell>
          <cell r="C251">
            <v>453</v>
          </cell>
          <cell r="D251">
            <v>3.86</v>
          </cell>
        </row>
        <row r="252">
          <cell r="B252">
            <v>14216</v>
          </cell>
          <cell r="C252">
            <v>1539</v>
          </cell>
          <cell r="D252">
            <v>5.69</v>
          </cell>
        </row>
        <row r="253">
          <cell r="B253">
            <v>32500</v>
          </cell>
          <cell r="C253">
            <v>948</v>
          </cell>
          <cell r="D253">
            <v>3.16</v>
          </cell>
        </row>
        <row r="254">
          <cell r="B254">
            <v>6832</v>
          </cell>
          <cell r="C254">
            <v>637</v>
          </cell>
          <cell r="D254">
            <v>1.6</v>
          </cell>
        </row>
        <row r="255">
          <cell r="B255">
            <v>191113</v>
          </cell>
          <cell r="C255">
            <v>6589</v>
          </cell>
          <cell r="D255">
            <v>40.64</v>
          </cell>
        </row>
        <row r="256">
          <cell r="B256">
            <v>105490</v>
          </cell>
          <cell r="C256">
            <v>4594</v>
          </cell>
          <cell r="D256">
            <v>20.440000000000001</v>
          </cell>
        </row>
        <row r="257">
          <cell r="B257">
            <v>48419</v>
          </cell>
          <cell r="C257">
            <v>339</v>
          </cell>
          <cell r="D257">
            <v>5.59</v>
          </cell>
        </row>
        <row r="258">
          <cell r="B258">
            <v>33381</v>
          </cell>
          <cell r="C258">
            <v>1881</v>
          </cell>
          <cell r="D258">
            <v>6.09</v>
          </cell>
        </row>
        <row r="259">
          <cell r="B259">
            <v>16149</v>
          </cell>
          <cell r="C259">
            <v>1510</v>
          </cell>
          <cell r="D259">
            <v>3.55</v>
          </cell>
        </row>
        <row r="260">
          <cell r="B260">
            <v>7541</v>
          </cell>
          <cell r="C260">
            <v>864</v>
          </cell>
          <cell r="D260">
            <v>5.21</v>
          </cell>
        </row>
        <row r="261">
          <cell r="B261">
            <v>85623</v>
          </cell>
          <cell r="C261">
            <v>1995</v>
          </cell>
          <cell r="D261">
            <v>20.2</v>
          </cell>
        </row>
        <row r="262">
          <cell r="B262">
            <v>49400</v>
          </cell>
          <cell r="C262">
            <v>407</v>
          </cell>
          <cell r="D262">
            <v>4</v>
          </cell>
        </row>
        <row r="263">
          <cell r="B263">
            <v>20042</v>
          </cell>
          <cell r="C263">
            <v>1656</v>
          </cell>
          <cell r="D263">
            <v>1.82</v>
          </cell>
        </row>
        <row r="264">
          <cell r="B264">
            <v>4007</v>
          </cell>
          <cell r="C264">
            <v>269</v>
          </cell>
          <cell r="D264">
            <v>7.57</v>
          </cell>
        </row>
        <row r="265">
          <cell r="B265">
            <v>12174</v>
          </cell>
          <cell r="C265">
            <v>-337</v>
          </cell>
          <cell r="D265">
            <v>6.81</v>
          </cell>
        </row>
        <row r="266">
          <cell r="B266">
            <v>4832916</v>
          </cell>
          <cell r="C266">
            <v>160105</v>
          </cell>
          <cell r="D266">
            <v>1128.9399999999996</v>
          </cell>
        </row>
      </sheetData>
      <sheetData sheetId="12"/>
      <sheetData sheetId="13"/>
      <sheetData sheetId="14"/>
      <sheetData sheetId="15"/>
      <sheetData sheetId="16"/>
      <sheetData sheetId="17"/>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mitta\Downloads\Myntra_Social_Media_Analytics%20(3).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mitta\Downloads\Myntra_Social_Media_Analytics%20(3).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file:///C:\Users\mitta\Downloads\Myntra_Social_Media_Analytics%20(3).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nika Mittal" refreshedDate="45995.012510995373" createdVersion="8" refreshedVersion="8" minRefreshableVersion="3" recordCount="600" xr:uid="{DD661806-B4FB-4F53-AA27-A8EC22A89256}">
  <cacheSource type="worksheet">
    <worksheetSource ref="A1:N601" sheet="Post" r:id="rId2"/>
  </cacheSource>
  <cacheFields count="14">
    <cacheField name="Post ID" numFmtId="0">
      <sharedItems/>
    </cacheField>
    <cacheField name="Platform" numFmtId="0">
      <sharedItems count="4">
        <s v="Instagram"/>
        <s v="Twitter"/>
        <s v="YouTube"/>
        <s v="Facebook"/>
      </sharedItems>
    </cacheField>
    <cacheField name="Date" numFmtId="0">
      <sharedItems/>
    </cacheField>
    <cacheField name="Content Type" numFmtId="0">
      <sharedItems count="6">
        <s v="Story"/>
        <s v="Reel"/>
        <s v="Video"/>
        <s v="Carousel"/>
        <s v="Image"/>
        <s v="Text"/>
      </sharedItems>
    </cacheField>
    <cacheField name="Post Text" numFmtId="0">
      <sharedItems/>
    </cacheField>
    <cacheField name="Likes" numFmtId="0">
      <sharedItems containsSemiMixedTypes="0" containsString="0" containsNumber="1" containsInteger="1" minValue="53" maxValue="4941"/>
    </cacheField>
    <cacheField name="Shares" numFmtId="0">
      <sharedItems containsSemiMixedTypes="0" containsString="0" containsNumber="1" containsInteger="1" minValue="10" maxValue="983"/>
    </cacheField>
    <cacheField name="Comments" numFmtId="0">
      <sharedItems containsSemiMixedTypes="0" containsString="0" containsNumber="1" containsInteger="1" minValue="7" maxValue="500"/>
    </cacheField>
    <cacheField name="Impressions" numFmtId="0">
      <sharedItems containsSemiMixedTypes="0" containsString="0" containsNumber="1" containsInteger="1" minValue="588" maxValue="98100"/>
    </cacheField>
    <cacheField name="Reach" numFmtId="0">
      <sharedItems containsSemiMixedTypes="0" containsString="0" containsNumber="1" containsInteger="1" minValue="7" maxValue="97772"/>
    </cacheField>
    <cacheField name="Clicks" numFmtId="0">
      <sharedItems containsSemiMixedTypes="0" containsString="0" containsNumber="1" containsInteger="1" minValue="10" maxValue="300"/>
    </cacheField>
    <cacheField name="Hashtags Used" numFmtId="0">
      <sharedItems containsBlank="1" count="6">
        <s v="#StyleWithMyntra"/>
        <s v="#MyntraSale"/>
        <s v="#MyntraFashion"/>
        <s v="#FashionDeals"/>
        <s v="#MyntraTrend"/>
        <m/>
      </sharedItems>
    </cacheField>
    <cacheField name="Campaign_Name" numFmtId="0">
      <sharedItems/>
    </cacheField>
    <cacheField name="Engagement Rate " numFmtId="10">
      <sharedItems containsSemiMixedTypes="0" containsString="0" containsNumber="1" minValue="5.2551586421122694E-4" maxValue="1.812925170068027E-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nika Mittal" refreshedDate="45995.640407754632" createdVersion="8" refreshedVersion="8" minRefreshableVersion="3" recordCount="200" xr:uid="{69C9024A-0B12-45C1-940D-87AED22C88ED}">
  <cacheSource type="worksheet">
    <worksheetSource ref="A1:I201" sheet="Engagment Summary" r:id="rId2"/>
  </cacheSource>
  <cacheFields count="11">
    <cacheField name="Week_Start_Date" numFmtId="164">
      <sharedItems containsSemiMixedTypes="0" containsNonDate="0" containsDate="1" containsString="0" minDate="2024-06-03T00:00:00" maxDate="2025-05-13T00:00:00" count="50">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sharedItems>
      <fieldGroup par="10"/>
    </cacheField>
    <cacheField name="Platform" numFmtId="0">
      <sharedItems count="4">
        <s v="Instagram"/>
        <s v="Facebook"/>
        <s v="Twitter"/>
        <s v="YouTube"/>
      </sharedItems>
    </cacheField>
    <cacheField name="New_Followers" numFmtId="1">
      <sharedItems containsSemiMixedTypes="0" containsString="0" containsNumber="1" containsInteger="1" minValue="115" maxValue="1980"/>
    </cacheField>
    <cacheField name="Unfollows" numFmtId="1">
      <sharedItems containsSemiMixedTypes="0" containsString="0" containsNumber="1" containsInteger="1" minValue="20" maxValue="498"/>
    </cacheField>
    <cacheField name="Total_Followers" numFmtId="1">
      <sharedItems containsSemiMixedTypes="0" containsString="0" containsNumber="1" containsInteger="1" minValue="11435" maxValue="496982" count="200">
        <n v="344084"/>
        <n v="42654"/>
        <n v="146834"/>
        <n v="395536"/>
        <n v="49157"/>
        <n v="316555"/>
        <n v="254347"/>
        <n v="413878"/>
        <n v="456946"/>
        <n v="169496"/>
        <n v="122732"/>
        <n v="382851"/>
        <n v="35664"/>
        <n v="26295"/>
        <n v="298421"/>
        <n v="426184"/>
        <n v="419447"/>
        <n v="220020"/>
        <n v="315305"/>
        <n v="113678"/>
        <n v="58223"/>
        <n v="251694"/>
        <n v="389810"/>
        <n v="233694"/>
        <n v="154169"/>
        <n v="334626"/>
        <n v="226002"/>
        <n v="156683"/>
        <n v="473812"/>
        <n v="295032"/>
        <n v="198278"/>
        <n v="306564"/>
        <n v="23664"/>
        <n v="435034"/>
        <n v="287574"/>
        <n v="62499"/>
        <n v="437968"/>
        <n v="125034"/>
        <n v="449994"/>
        <n v="320650"/>
        <n v="489188"/>
        <n v="307612"/>
        <n v="434883"/>
        <n v="102042"/>
        <n v="325444"/>
        <n v="183924"/>
        <n v="188655"/>
        <n v="87443"/>
        <n v="453799"/>
        <n v="379380"/>
        <n v="186454"/>
        <n v="239044"/>
        <n v="101332"/>
        <n v="496982"/>
        <n v="318779"/>
        <n v="370971"/>
        <n v="378054"/>
        <n v="307524"/>
        <n v="434047"/>
        <n v="64583"/>
        <n v="50793"/>
        <n v="474162"/>
        <n v="392355"/>
        <n v="119934"/>
        <n v="422625"/>
        <n v="239753"/>
        <n v="268516"/>
        <n v="63177"/>
        <n v="370269"/>
        <n v="453423"/>
        <n v="64906"/>
        <n v="94360"/>
        <n v="187183"/>
        <n v="379363"/>
        <n v="476486"/>
        <n v="117767"/>
        <n v="388555"/>
        <n v="157599"/>
        <n v="309772"/>
        <n v="199178"/>
        <n v="357089"/>
        <n v="23492"/>
        <n v="258287"/>
        <n v="256910"/>
        <n v="346522"/>
        <n v="209987"/>
        <n v="240550"/>
        <n v="305827"/>
        <n v="54935"/>
        <n v="319186"/>
        <n v="439080"/>
        <n v="258944"/>
        <n v="51395"/>
        <n v="309483"/>
        <n v="87305"/>
        <n v="121091"/>
        <n v="51087"/>
        <n v="338847"/>
        <n v="487523"/>
        <n v="301695"/>
        <n v="282466"/>
        <n v="336661"/>
        <n v="88455"/>
        <n v="62535"/>
        <n v="421957"/>
        <n v="470269"/>
        <n v="309904"/>
        <n v="221274"/>
        <n v="220616"/>
        <n v="35842"/>
        <n v="20607"/>
        <n v="451894"/>
        <n v="465553"/>
        <n v="415815"/>
        <n v="327183"/>
        <n v="488901"/>
        <n v="280795"/>
        <n v="93347"/>
        <n v="81119"/>
        <n v="25177"/>
        <n v="140804"/>
        <n v="379431"/>
        <n v="274831"/>
        <n v="136845"/>
        <n v="466382"/>
        <n v="95728"/>
        <n v="371156"/>
        <n v="95410"/>
        <n v="349413"/>
        <n v="224699"/>
        <n v="487896"/>
        <n v="14437"/>
        <n v="383681"/>
        <n v="479490"/>
        <n v="124404"/>
        <n v="336949"/>
        <n v="357265"/>
        <n v="321307"/>
        <n v="262569"/>
        <n v="461669"/>
        <n v="351556"/>
        <n v="135987"/>
        <n v="177554"/>
        <n v="270766"/>
        <n v="222126"/>
        <n v="309914"/>
        <n v="126582"/>
        <n v="485280"/>
        <n v="453243"/>
        <n v="104967"/>
        <n v="145608"/>
        <n v="105980"/>
        <n v="126524"/>
        <n v="230448"/>
        <n v="317007"/>
        <n v="464239"/>
        <n v="257579"/>
        <n v="366881"/>
        <n v="466575"/>
        <n v="224534"/>
        <n v="462142"/>
        <n v="340842"/>
        <n v="12471"/>
        <n v="98397"/>
        <n v="410330"/>
        <n v="342129"/>
        <n v="12447"/>
        <n v="17380"/>
        <n v="364810"/>
        <n v="373606"/>
        <n v="211090"/>
        <n v="441931"/>
        <n v="282780"/>
        <n v="370070"/>
        <n v="198350"/>
        <n v="435726"/>
        <n v="78789"/>
        <n v="98596"/>
        <n v="29589"/>
        <n v="290354"/>
        <n v="66682"/>
        <n v="70707"/>
        <n v="142507"/>
        <n v="369525"/>
        <n v="62942"/>
        <n v="377382"/>
        <n v="333851"/>
        <n v="270958"/>
        <n v="445944"/>
        <n v="224830"/>
        <n v="487289"/>
        <n v="11435"/>
        <n v="447902"/>
        <n v="418696"/>
        <n v="484364"/>
        <n v="148477"/>
        <n v="468301"/>
        <n v="364820"/>
        <n v="456298"/>
        <n v="82558"/>
      </sharedItems>
    </cacheField>
    <cacheField name="Engagement_Rate" numFmtId="1">
      <sharedItems containsSemiMixedTypes="0" containsString="0" containsNumber="1" minValue="1.53" maxValue="9.48"/>
    </cacheField>
    <cacheField name="Ad_Spend" numFmtId="1">
      <sharedItems containsSemiMixedTypes="0" containsString="0" containsNumber="1" containsInteger="1" minValue="1083" maxValue="49772"/>
    </cacheField>
    <cacheField name="Net Followers" numFmtId="1">
      <sharedItems containsSemiMixedTypes="0" containsString="0" containsNumber="1" containsInteger="1" minValue="-337" maxValue="1881" count="193">
        <n v="1047"/>
        <n v="1002"/>
        <n v="415"/>
        <n v="1090"/>
        <n v="517"/>
        <n v="1283"/>
        <n v="186"/>
        <n v="994"/>
        <n v="893"/>
        <n v="1382"/>
        <n v="1295"/>
        <n v="337"/>
        <n v="629"/>
        <n v="1670"/>
        <n v="835"/>
        <n v="-123"/>
        <n v="-219"/>
        <n v="64"/>
        <n v="1357"/>
        <n v="91"/>
        <n v="1672"/>
        <n v="309"/>
        <n v="547"/>
        <n v="514"/>
        <n v="1845"/>
        <n v="-164"/>
        <n v="429"/>
        <n v="160"/>
        <n v="159"/>
        <n v="961"/>
        <n v="1316"/>
        <n v="317"/>
        <n v="541"/>
        <n v="-318"/>
        <n v="1495"/>
        <n v="475"/>
        <n v="352"/>
        <n v="-197"/>
        <n v="328"/>
        <n v="319"/>
        <n v="1325"/>
        <n v="1334"/>
        <n v="37"/>
        <n v="1032"/>
        <n v="76"/>
        <n v="1058"/>
        <n v="1665"/>
        <n v="190"/>
        <n v="1609"/>
        <n v="1229"/>
        <n v="28"/>
        <n v="1247"/>
        <n v="1045"/>
        <n v="197"/>
        <n v="333"/>
        <n v="1572"/>
        <n v="1428"/>
        <n v="260"/>
        <n v="1100"/>
        <n v="377"/>
        <n v="98"/>
        <n v="1125"/>
        <n v="-32"/>
        <n v="666"/>
        <n v="-19"/>
        <n v="1680"/>
        <n v="1006"/>
        <n v="1025"/>
        <n v="-179"/>
        <n v="599"/>
        <n v="1706"/>
        <n v="1872"/>
        <n v="1662"/>
        <n v="107"/>
        <n v="118"/>
        <n v="1224"/>
        <n v="285"/>
        <n v="-20"/>
        <n v="367"/>
        <n v="262"/>
        <n v="439"/>
        <n v="636"/>
        <n v="1484"/>
        <n v="576"/>
        <n v="386"/>
        <n v="1657"/>
        <n v="1397"/>
        <n v="540"/>
        <n v="1603"/>
        <n v="1044"/>
        <n v="902"/>
        <n v="-106"/>
        <n v="1150"/>
        <n v="349"/>
        <n v="-49"/>
        <n v="72"/>
        <n v="445"/>
        <n v="60"/>
        <n v="1693"/>
        <n v="1332"/>
        <n v="885"/>
        <n v="1625"/>
        <n v="1173"/>
        <n v="291"/>
        <n v="1119"/>
        <n v="1373"/>
        <n v="1727"/>
        <n v="573"/>
        <n v="1432"/>
        <n v="1377"/>
        <n v="1359"/>
        <n v="876"/>
        <n v="684"/>
        <n v="730"/>
        <n v="911"/>
        <n v="1589"/>
        <n v="1765"/>
        <n v="1776"/>
        <n v="1529"/>
        <n v="1460"/>
        <n v="903"/>
        <n v="620"/>
        <n v="1188"/>
        <n v="846"/>
        <n v="1722"/>
        <n v="298"/>
        <n v="-144"/>
        <n v="901"/>
        <n v="427"/>
        <n v="891"/>
        <n v="724"/>
        <n v="-166"/>
        <n v="898"/>
        <n v="1426"/>
        <n v="1225"/>
        <n v="1080"/>
        <n v="748"/>
        <n v="569"/>
        <n v="-203"/>
        <n v="1723"/>
        <n v="912"/>
        <n v="1202"/>
        <n v="1444"/>
        <n v="965"/>
        <n v="1590"/>
        <n v="-37"/>
        <n v="1175"/>
        <n v="1375"/>
        <n v="1707"/>
        <n v="708"/>
        <n v="1016"/>
        <n v="1315"/>
        <n v="-119"/>
        <n v="899"/>
        <n v="315"/>
        <n v="212"/>
        <n v="908"/>
        <n v="1350"/>
        <n v="1242"/>
        <n v="680"/>
        <n v="1116"/>
        <n v="861"/>
        <n v="1385"/>
        <n v="461"/>
        <n v="474"/>
        <n v="292"/>
        <n v="389"/>
        <n v="641"/>
        <n v="1676"/>
        <n v="1467"/>
        <n v="167"/>
        <n v="1029"/>
        <n v="1007"/>
        <n v="209"/>
        <n v="-160"/>
        <n v="-175"/>
        <n v="53"/>
        <n v="145"/>
        <n v="603"/>
        <n v="759"/>
        <n v="1633"/>
        <n v="1539"/>
        <n v="453"/>
        <n v="948"/>
        <n v="637"/>
        <n v="1881"/>
        <n v="339"/>
        <n v="1510"/>
        <n v="864"/>
        <n v="1656"/>
        <n v="407"/>
        <n v="269"/>
        <n v="-337"/>
      </sharedItems>
    </cacheField>
    <cacheField name="Average Total Followers" numFmtId="1">
      <sharedItems containsSemiMixedTypes="0" containsString="0" containsNumber="1" minValue="66547.666666666672" maxValue="450320.66666666669" count="200">
        <n v="177857.33333333334"/>
        <n v="195008"/>
        <n v="197175.66666666666"/>
        <n v="253749.33333333334"/>
        <n v="206686.33333333334"/>
        <n v="328260"/>
        <n v="375057"/>
        <n v="346773.33333333331"/>
        <n v="249724.66666666666"/>
        <n v="225026.33333333334"/>
        <n v="180415.66666666666"/>
        <n v="148270"/>
        <n v="120126.66666666667"/>
        <n v="250300"/>
        <n v="381350.66666666669"/>
        <n v="355217"/>
        <n v="318257.33333333331"/>
        <n v="216334.33333333334"/>
        <n v="162402"/>
        <n v="141198.33333333334"/>
        <n v="233242.33333333334"/>
        <n v="291732.66666666669"/>
        <n v="259224.33333333334"/>
        <n v="240829.66666666666"/>
        <n v="238265.66666666666"/>
        <n v="239103.66666666666"/>
        <n v="285499"/>
        <n v="308509"/>
        <n v="322374"/>
        <n v="266624.66666666669"/>
        <n v="176168.66666666666"/>
        <n v="255087.33333333334"/>
        <n v="248757.33333333334"/>
        <n v="261702.33333333334"/>
        <n v="262680.33333333331"/>
        <n v="208500.33333333334"/>
        <n v="337665.33333333331"/>
        <n v="298559.33333333331"/>
        <n v="419944"/>
        <n v="372483.33333333331"/>
        <n v="410561"/>
        <n v="281512.33333333331"/>
        <n v="287456.33333333331"/>
        <n v="203803.33333333334"/>
        <n v="232674.33333333334"/>
        <n v="153340.66666666666"/>
        <n v="243299"/>
        <n v="306874"/>
        <n v="339877.66666666669"/>
        <n v="268292.66666666669"/>
        <n v="175610"/>
        <n v="279119.33333333331"/>
        <n v="305697.66666666669"/>
        <n v="395577.33333333331"/>
        <n v="355934.66666666669"/>
        <n v="352183"/>
        <n v="373208.33333333331"/>
        <n v="268718"/>
        <n v="183141"/>
        <n v="196512.66666666666"/>
        <n v="305770"/>
        <n v="328817"/>
        <n v="311638"/>
        <n v="260770.66666666666"/>
        <n v="310298"/>
        <n v="190482"/>
        <n v="233987.33333333334"/>
        <n v="295623"/>
        <n v="296199.33333333331"/>
        <n v="204229.66666666666"/>
        <n v="115483"/>
        <n v="220302"/>
        <n v="347677.33333333331"/>
        <n v="324538.66666666669"/>
        <n v="327602.66666666669"/>
        <n v="221307"/>
        <n v="285308.66666666669"/>
        <n v="222183"/>
        <n v="288679.66666666669"/>
        <n v="193253"/>
        <n v="212956"/>
        <n v="179563"/>
        <n v="287239.66666666669"/>
        <n v="271139.66666666669"/>
        <n v="265686.33333333331"/>
        <n v="252121.33333333334"/>
        <n v="200437.33333333334"/>
        <n v="226649.33333333334"/>
        <n v="271067"/>
        <n v="339070"/>
        <n v="249806.33333333334"/>
        <n v="206607.33333333334"/>
        <n v="149394.33333333334"/>
        <n v="172626.33333333334"/>
        <n v="86494.333333333328"/>
        <n v="170341.66666666666"/>
        <n v="292485.66666666669"/>
        <n v="376021.66666666669"/>
        <n v="357228"/>
        <n v="306940.66666666669"/>
        <n v="235860.66666666666"/>
        <n v="162550.33333333334"/>
        <n v="190982.33333333334"/>
        <n v="318253.66666666669"/>
        <n v="400710"/>
        <n v="333815.66666666669"/>
        <n v="250598"/>
        <n v="159244"/>
        <n v="92355"/>
        <n v="169447.66666666666"/>
        <n v="312684.66666666669"/>
        <n v="444420.66666666669"/>
        <n v="402850.33333333331"/>
        <n v="410633"/>
        <n v="365626.33333333331"/>
        <n v="287681"/>
        <n v="151753.66666666666"/>
        <n v="66547.666666666672"/>
        <n v="82366.666666666672"/>
        <n v="181804"/>
        <n v="265022"/>
        <n v="263702.33333333331"/>
        <n v="292686"/>
        <n v="232985"/>
        <n v="311088.66666666669"/>
        <n v="187431.33333333334"/>
        <n v="271993"/>
        <n v="223174"/>
        <n v="354002.66666666669"/>
        <n v="242344"/>
        <n v="295338"/>
        <n v="292536"/>
        <n v="329191.66666666669"/>
        <n v="313614.33333333331"/>
        <n v="272872.66666666669"/>
        <n v="338507"/>
        <n v="313713.66666666669"/>
        <n v="348515"/>
        <n v="358598"/>
        <n v="316404"/>
        <n v="221699"/>
        <n v="194769"/>
        <n v="223482"/>
        <n v="267602"/>
        <n v="219540.66666666666"/>
        <n v="307258.66666666669"/>
        <n v="355035"/>
        <n v="347830"/>
        <n v="234606"/>
        <n v="118851.66666666667"/>
        <n v="126037.33333333333"/>
        <n v="154317.33333333334"/>
        <n v="224659.66666666666"/>
        <n v="337231.33333333331"/>
        <n v="346275"/>
        <n v="362899.66666666669"/>
        <n v="363678.33333333331"/>
        <n v="352663.33333333331"/>
        <n v="384417"/>
        <n v="342506"/>
        <n v="271818.33333333331"/>
        <n v="150570"/>
        <n v="173732.66666666666"/>
        <n v="283618.66666666669"/>
        <n v="254968.66666666666"/>
        <n v="123985.33333333333"/>
        <n v="131545.66666666666"/>
        <n v="251932"/>
        <n v="316502"/>
        <n v="342209"/>
        <n v="311933.66666666669"/>
        <n v="364927"/>
        <n v="283733.33333333331"/>
        <n v="334715.33333333331"/>
        <n v="237621.66666666666"/>
        <n v="204370.33333333334"/>
        <n v="68991.333333333328"/>
        <n v="139513"/>
        <n v="128875"/>
        <n v="142581"/>
        <n v="93298.666666666672"/>
        <n v="194246.33333333334"/>
        <n v="191658"/>
        <n v="269949.66666666669"/>
        <n v="258058.33333333334"/>
        <n v="327397"/>
        <n v="350251"/>
        <n v="313910.66666666669"/>
        <n v="386021"/>
        <n v="241184.66666666666"/>
        <n v="315542"/>
        <n v="292677.66666666669"/>
        <n v="450320.66666666669"/>
        <n v="350512.33333333331"/>
        <n v="367047.33333333331"/>
        <n v="327199.33333333331"/>
        <n v="429806.33333333331"/>
        <n v="301225.33333333331"/>
        <n v="269428"/>
        <n v="82558"/>
      </sharedItems>
    </cacheField>
    <cacheField name="Months (Week_Start_Date)" numFmtId="0" databaseField="0">
      <fieldGroup base="0">
        <rangePr groupBy="months" startDate="2024-06-03T00:00:00" endDate="2025-05-13T00:00:00"/>
        <groupItems count="14">
          <s v="&lt;03-06-2024"/>
          <s v="Jan"/>
          <s v="Feb"/>
          <s v="Mar"/>
          <s v="Apr"/>
          <s v="May"/>
          <s v="Jun"/>
          <s v="Jul"/>
          <s v="Aug"/>
          <s v="Sep"/>
          <s v="Oct"/>
          <s v="Nov"/>
          <s v="Dec"/>
          <s v="&gt;13-05-2025"/>
        </groupItems>
      </fieldGroup>
    </cacheField>
    <cacheField name="Years (Week_Start_Date)" numFmtId="0" databaseField="0">
      <fieldGroup base="0">
        <rangePr groupBy="years" startDate="2024-06-03T00:00:00" endDate="2025-05-13T00:00:00"/>
        <groupItems count="4">
          <s v="&lt;03-06-2024"/>
          <s v="2024"/>
          <s v="2025"/>
          <s v="&gt;13-05-2025"/>
        </groupItems>
      </fieldGroup>
    </cacheField>
  </cacheFields>
  <extLst>
    <ext xmlns:x14="http://schemas.microsoft.com/office/spreadsheetml/2009/9/main" uri="{725AE2AE-9491-48be-B2B4-4EB974FC3084}">
      <x14:pivotCacheDefinition pivotCacheId="109599759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nika Mittal" refreshedDate="45995.64008125" createdVersion="8" refreshedVersion="8" minRefreshableVersion="3" recordCount="200" xr:uid="{9698E572-45B6-4544-9A19-8BDE3713D7FC}">
  <cacheSource type="worksheet">
    <worksheetSource ref="A1:H201" sheet="Engagment Summary" r:id="rId2"/>
  </cacheSource>
  <cacheFields count="10">
    <cacheField name="Week_Start_Date" numFmtId="164">
      <sharedItems containsSemiMixedTypes="0" containsNonDate="0" containsDate="1" containsString="0" minDate="2024-06-03T00:00:00" maxDate="2025-05-13T00:00:00" count="50">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sharedItems>
      <fieldGroup par="9"/>
    </cacheField>
    <cacheField name="Platform" numFmtId="0">
      <sharedItems count="4">
        <s v="Instagram"/>
        <s v="Facebook"/>
        <s v="Twitter"/>
        <s v="YouTube"/>
      </sharedItems>
    </cacheField>
    <cacheField name="New_Followers" numFmtId="1">
      <sharedItems containsSemiMixedTypes="0" containsString="0" containsNumber="1" containsInteger="1" minValue="115" maxValue="1980"/>
    </cacheField>
    <cacheField name="Unfollows" numFmtId="1">
      <sharedItems containsSemiMixedTypes="0" containsString="0" containsNumber="1" containsInteger="1" minValue="20" maxValue="498"/>
    </cacheField>
    <cacheField name="Total_Followers" numFmtId="1">
      <sharedItems containsSemiMixedTypes="0" containsString="0" containsNumber="1" containsInteger="1" minValue="11435" maxValue="496982"/>
    </cacheField>
    <cacheField name="Engagement_Rate" numFmtId="1">
      <sharedItems containsSemiMixedTypes="0" containsString="0" containsNumber="1" minValue="1.53" maxValue="9.48"/>
    </cacheField>
    <cacheField name="Ad_Spend" numFmtId="1">
      <sharedItems containsSemiMixedTypes="0" containsString="0" containsNumber="1" containsInteger="1" minValue="1083" maxValue="49772"/>
    </cacheField>
    <cacheField name="Net Followers" numFmtId="1">
      <sharedItems containsSemiMixedTypes="0" containsString="0" containsNumber="1" containsInteger="1" minValue="-337" maxValue="1881"/>
    </cacheField>
    <cacheField name="Days (Week_Start_Date)" numFmtId="0" databaseField="0">
      <fieldGroup base="0">
        <rangePr groupBy="days" startDate="2024-06-03T00:00:00" endDate="2025-05-13T00:00:00"/>
        <groupItems count="368">
          <s v="&lt;03-06-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3-05-2025"/>
        </groupItems>
      </fieldGroup>
    </cacheField>
    <cacheField name="Years (Week_Start_Date)" numFmtId="0" databaseField="0">
      <fieldGroup base="0">
        <rangePr groupBy="years" startDate="2024-06-03T00:00:00" endDate="2025-05-13T00:00:00"/>
        <groupItems count="4">
          <s v="&lt;03-06-2024"/>
          <s v="2024"/>
          <s v="2025"/>
          <s v="&gt;13-05-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s v="P220"/>
    <x v="0"/>
    <s v="2024-06-02"/>
    <x v="0"/>
    <s v="Explore the latest story on Myntra! Trendy styles await."/>
    <n v="84"/>
    <n v="897"/>
    <n v="85"/>
    <n v="588"/>
    <n v="8"/>
    <n v="12"/>
    <x v="0"/>
    <s v="EndOfSeasonSale"/>
    <n v="1.812925170068027E-2"/>
  </r>
  <r>
    <s v="P058"/>
    <x v="0"/>
    <s v="2025-04-15"/>
    <x v="1"/>
    <s v="Explore the latest reel on Myntra! Trendy styles await."/>
    <n v="103"/>
    <n v="770"/>
    <n v="19"/>
    <n v="1030"/>
    <n v="410"/>
    <n v="262"/>
    <x v="1"/>
    <s v="MyntraFestiveEdit"/>
    <n v="8.6601941747572811E-3"/>
  </r>
  <r>
    <s v="P232"/>
    <x v="1"/>
    <s v="2025-04-29"/>
    <x v="0"/>
    <s v="Explore the latest story on Myntra! Trendy styles await."/>
    <n v="249"/>
    <n v="592"/>
    <n v="230"/>
    <n v="1494"/>
    <n v="1044"/>
    <n v="201"/>
    <x v="2"/>
    <s v="StyleRevolution"/>
    <n v="7.1686746987951813E-3"/>
  </r>
  <r>
    <s v="P178"/>
    <x v="0"/>
    <s v="2024-11-07"/>
    <x v="2"/>
    <s v="Explore the latest video on Myntra! Trendy styles await."/>
    <n v="129"/>
    <n v="643"/>
    <n v="136"/>
    <n v="1290"/>
    <n v="839"/>
    <n v="238"/>
    <x v="0"/>
    <s v="StyleRevolution"/>
    <n v="7.0387596899224806E-3"/>
  </r>
  <r>
    <s v="P175"/>
    <x v="0"/>
    <s v="2025-01-17"/>
    <x v="1"/>
    <s v="Explore the latest reel on Myntra! Trendy styles await."/>
    <n v="142"/>
    <n v="784"/>
    <n v="183"/>
    <n v="1704"/>
    <n v="995"/>
    <n v="154"/>
    <x v="1"/>
    <s v="FashionUpgrade"/>
    <n v="6.5082159624413154E-3"/>
  </r>
  <r>
    <s v="P062"/>
    <x v="1"/>
    <s v="2024-11-22"/>
    <x v="3"/>
    <s v="Explore the latest carousel on Myntra! Trendy styles await."/>
    <n v="53"/>
    <n v="81"/>
    <n v="379"/>
    <n v="954"/>
    <n v="7"/>
    <n v="148"/>
    <x v="3"/>
    <s v="MyntraFestiveEdit"/>
    <n v="5.3773584905660379E-3"/>
  </r>
  <r>
    <s v="P264"/>
    <x v="1"/>
    <s v="2025-01-30"/>
    <x v="4"/>
    <s v="Explore the latest image on Myntra! Trendy styles await."/>
    <n v="59"/>
    <n v="163"/>
    <n v="93"/>
    <n v="590"/>
    <n v="475"/>
    <n v="293"/>
    <x v="4"/>
    <s v="StyleRevolution"/>
    <n v="5.3389830508474576E-3"/>
  </r>
  <r>
    <s v="P143"/>
    <x v="2"/>
    <s v="2024-10-02"/>
    <x v="3"/>
    <s v="Explore the latest carousel on Myntra! Trendy styles await."/>
    <n v="80"/>
    <n v="362"/>
    <n v="80"/>
    <n v="1040"/>
    <n v="349"/>
    <n v="117"/>
    <x v="2"/>
    <s v="EndOfSeasonSale"/>
    <n v="5.0192307692307689E-3"/>
  </r>
  <r>
    <s v="P210"/>
    <x v="2"/>
    <s v="2025-02-19"/>
    <x v="4"/>
    <s v="Explore the latest image on Myntra! Trendy styles await."/>
    <n v="257"/>
    <n v="966"/>
    <n v="398"/>
    <n v="3341"/>
    <n v="2753"/>
    <n v="287"/>
    <x v="4"/>
    <s v="FashionUpgrade"/>
    <n v="4.8518407662376537E-3"/>
  </r>
  <r>
    <s v="P070"/>
    <x v="3"/>
    <s v="2025-04-02"/>
    <x v="2"/>
    <s v="Explore the latest video on Myntra! Trendy styles await."/>
    <n v="199"/>
    <n v="772"/>
    <n v="400"/>
    <n v="3582"/>
    <n v="2988"/>
    <n v="43"/>
    <x v="4"/>
    <s v="FashionUpgrade"/>
    <n v="3.8274706867671691E-3"/>
  </r>
  <r>
    <s v="P214"/>
    <x v="0"/>
    <s v="2024-12-23"/>
    <x v="4"/>
    <s v="Explore the latest image on Myntra! Trendy styles await."/>
    <n v="521"/>
    <n v="746"/>
    <n v="315"/>
    <n v="4168"/>
    <n v="3399"/>
    <n v="282"/>
    <x v="1"/>
    <s v="FashionUpgrade"/>
    <n v="3.795585412667946E-3"/>
  </r>
  <r>
    <s v="P053"/>
    <x v="2"/>
    <s v="2025-02-24"/>
    <x v="3"/>
    <s v="Explore the latest carousel on Myntra! Trendy styles await."/>
    <n v="804"/>
    <n v="639"/>
    <n v="43"/>
    <n v="4020"/>
    <n v="3144"/>
    <n v="11"/>
    <x v="0"/>
    <s v="StyleRevolution"/>
    <n v="3.6965174129353234E-3"/>
  </r>
  <r>
    <s v="P102"/>
    <x v="1"/>
    <s v="2024-09-18"/>
    <x v="1"/>
    <s v="Explore the latest reel on Myntra! Trendy styles await."/>
    <n v="1000"/>
    <n v="978"/>
    <n v="162"/>
    <n v="6000"/>
    <n v="5221"/>
    <n v="223"/>
    <x v="4"/>
    <s v="MyntraFestiveEdit"/>
    <n v="3.5666666666666668E-3"/>
  </r>
  <r>
    <s v="P124"/>
    <x v="2"/>
    <s v="2025-04-06"/>
    <x v="3"/>
    <s v="Explore the latest carousel on Myntra! Trendy styles await."/>
    <n v="736"/>
    <n v="771"/>
    <n v="225"/>
    <n v="5152"/>
    <n v="4706"/>
    <n v="19"/>
    <x v="0"/>
    <s v="MyntraFestiveEdit"/>
    <n v="3.3618012422360248E-3"/>
  </r>
  <r>
    <s v="P121"/>
    <x v="0"/>
    <s v="2024-07-29"/>
    <x v="0"/>
    <s v="Explore the latest story on Myntra! Trendy styles await."/>
    <n v="498"/>
    <n v="701"/>
    <n v="412"/>
    <n v="4980"/>
    <n v="4185"/>
    <n v="185"/>
    <x v="3"/>
    <s v="StyleRevolution"/>
    <n v="3.2349397590361443E-3"/>
  </r>
  <r>
    <s v="P224"/>
    <x v="3"/>
    <s v="2025-05-13"/>
    <x v="4"/>
    <s v="Explore the latest image on Myntra! Trendy styles await."/>
    <n v="602"/>
    <n v="594"/>
    <n v="156"/>
    <n v="4214"/>
    <n v="3363"/>
    <n v="164"/>
    <x v="1"/>
    <s v="MyntraFestiveEdit"/>
    <n v="3.2083531086853343E-3"/>
  </r>
  <r>
    <s v="P154"/>
    <x v="0"/>
    <s v="2024-10-09"/>
    <x v="3"/>
    <s v="Explore the latest carousel on Myntra! Trendy styles await."/>
    <n v="985"/>
    <n v="932"/>
    <n v="287"/>
    <n v="6895"/>
    <n v="6757"/>
    <n v="64"/>
    <x v="1"/>
    <s v="EndOfSeasonSale"/>
    <n v="3.1965192168237856E-3"/>
  </r>
  <r>
    <s v="P119"/>
    <x v="0"/>
    <s v="2025-02-07"/>
    <x v="1"/>
    <s v="Explore the latest reel on Myntra! Trendy styles await."/>
    <n v="1970"/>
    <n v="675"/>
    <n v="478"/>
    <n v="9850"/>
    <n v="8924"/>
    <n v="117"/>
    <x v="4"/>
    <s v="StyleRevolution"/>
    <n v="3.1705583756345178E-3"/>
  </r>
  <r>
    <s v="P287"/>
    <x v="0"/>
    <s v="2024-08-15"/>
    <x v="1"/>
    <s v="Explore the latest reel on Myntra! Trendy styles await."/>
    <n v="1164"/>
    <n v="616"/>
    <n v="324"/>
    <n v="6984"/>
    <n v="6636"/>
    <n v="82"/>
    <x v="2"/>
    <s v="MyntraFestiveEdit"/>
    <n v="3.0126002290950743E-3"/>
  </r>
  <r>
    <s v="P204"/>
    <x v="0"/>
    <s v="2025-01-01"/>
    <x v="3"/>
    <s v="Explore the latest carousel on Myntra! Trendy styles await."/>
    <n v="2234"/>
    <n v="653"/>
    <n v="432"/>
    <n v="11170"/>
    <n v="10569"/>
    <n v="198"/>
    <x v="3"/>
    <s v="StyleRevolution"/>
    <n v="2.9713518352730527E-3"/>
  </r>
  <r>
    <s v="P066"/>
    <x v="1"/>
    <s v="2024-07-26"/>
    <x v="3"/>
    <s v="Explore the latest carousel on Myntra! Trendy styles await."/>
    <n v="432"/>
    <n v="171"/>
    <n v="280"/>
    <n v="3024"/>
    <n v="2285"/>
    <n v="184"/>
    <x v="2"/>
    <s v="MyntraFestiveEdit"/>
    <n v="2.9199735449735448E-3"/>
  </r>
  <r>
    <s v="P183"/>
    <x v="0"/>
    <s v="2024-12-17"/>
    <x v="0"/>
    <s v="Explore the latest story on Myntra! Trendy styles await."/>
    <n v="360"/>
    <n v="590"/>
    <n v="393"/>
    <n v="4680"/>
    <n v="4322"/>
    <n v="208"/>
    <x v="0"/>
    <s v="EndOfSeasonSale"/>
    <n v="2.8696581196581195E-3"/>
  </r>
  <r>
    <s v="P031"/>
    <x v="0"/>
    <s v="2024-12-16"/>
    <x v="5"/>
    <s v="Explore the latest text on Myntra! Trendy styles await."/>
    <n v="438"/>
    <n v="153"/>
    <n v="275"/>
    <n v="3066"/>
    <n v="2701"/>
    <n v="282"/>
    <x v="4"/>
    <s v="StyleRevolution"/>
    <n v="2.8245270711024133E-3"/>
  </r>
  <r>
    <s v="P093"/>
    <x v="0"/>
    <s v="2024-12-11"/>
    <x v="2"/>
    <s v="Explore the latest video on Myntra! Trendy styles await."/>
    <n v="1431"/>
    <n v="951"/>
    <n v="26"/>
    <n v="8586"/>
    <n v="8396"/>
    <n v="150"/>
    <x v="4"/>
    <s v="FashionUpgrade"/>
    <n v="2.8045655718611697E-3"/>
  </r>
  <r>
    <s v="P263"/>
    <x v="0"/>
    <s v="2024-08-20"/>
    <x v="1"/>
    <s v="Explore the latest reel on Myntra! Trendy styles await."/>
    <n v="2603"/>
    <n v="690"/>
    <n v="205"/>
    <n v="13015"/>
    <n v="12130"/>
    <n v="20"/>
    <x v="4"/>
    <s v="FashionUpgrade"/>
    <n v="2.6876680752977332E-3"/>
  </r>
  <r>
    <s v="P248"/>
    <x v="3"/>
    <s v="2025-02-02"/>
    <x v="0"/>
    <s v="Explore the latest story on Myntra! Trendy styles await."/>
    <n v="886"/>
    <n v="126"/>
    <n v="153"/>
    <n v="4430"/>
    <n v="4037"/>
    <n v="212"/>
    <x v="1"/>
    <s v="MyntraFestiveEdit"/>
    <n v="2.6297968397291194E-3"/>
  </r>
  <r>
    <s v="P244"/>
    <x v="2"/>
    <s v="2024-10-25"/>
    <x v="2"/>
    <s v="Explore the latest video on Myntra! Trendy styles await."/>
    <n v="4661"/>
    <n v="935"/>
    <n v="433"/>
    <n v="23305"/>
    <n v="22583"/>
    <n v="63"/>
    <x v="0"/>
    <s v="FashionUpgrade"/>
    <n v="2.586998498176357E-3"/>
  </r>
  <r>
    <s v="P259"/>
    <x v="3"/>
    <s v="2025-02-10"/>
    <x v="5"/>
    <s v="Explore the latest text on Myntra! Trendy styles await."/>
    <n v="562"/>
    <n v="158"/>
    <n v="149"/>
    <n v="3372"/>
    <n v="2940"/>
    <n v="93"/>
    <x v="3"/>
    <s v="StyleRevolution"/>
    <n v="2.5771055753262156E-3"/>
  </r>
  <r>
    <s v="P219"/>
    <x v="1"/>
    <s v="2025-01-28"/>
    <x v="1"/>
    <s v="Explore the latest reel on Myntra! Trendy styles await."/>
    <n v="1188"/>
    <n v="470"/>
    <n v="174"/>
    <n v="7128"/>
    <n v="6145"/>
    <n v="270"/>
    <x v="0"/>
    <s v="EndOfSeasonSale"/>
    <n v="2.570145903479237E-3"/>
  </r>
  <r>
    <s v="P226"/>
    <x v="0"/>
    <s v="2024-08-07"/>
    <x v="3"/>
    <s v="Explore the latest carousel on Myntra! Trendy styles await."/>
    <n v="1741"/>
    <n v="164"/>
    <n v="318"/>
    <n v="8705"/>
    <n v="8272"/>
    <n v="121"/>
    <x v="1"/>
    <s v="EndOfSeasonSale"/>
    <n v="2.5537047673750719E-3"/>
  </r>
  <r>
    <s v="P265"/>
    <x v="1"/>
    <s v="2025-02-20"/>
    <x v="3"/>
    <s v="Explore the latest carousel on Myntra! Trendy styles await."/>
    <n v="1877"/>
    <n v="745"/>
    <n v="225"/>
    <n v="11262"/>
    <n v="10967"/>
    <n v="41"/>
    <x v="0"/>
    <s v="FashionUpgrade"/>
    <n v="2.5279701651571658E-3"/>
  </r>
  <r>
    <s v="P239"/>
    <x v="2"/>
    <s v="2025-02-24"/>
    <x v="5"/>
    <s v="Explore the latest text on Myntra! Trendy styles await."/>
    <n v="4188"/>
    <n v="942"/>
    <n v="118"/>
    <n v="20940"/>
    <n v="20471"/>
    <n v="102"/>
    <x v="0"/>
    <s v="EndOfSeasonSale"/>
    <n v="2.5062082139446036E-3"/>
  </r>
  <r>
    <s v="P277"/>
    <x v="3"/>
    <s v="2025-04-06"/>
    <x v="4"/>
    <s v="Explore the latest image on Myntra! Trendy styles await."/>
    <n v="4236"/>
    <n v="711"/>
    <n v="298"/>
    <n v="21180"/>
    <n v="20516"/>
    <n v="238"/>
    <x v="4"/>
    <s v="StyleRevolution"/>
    <n v="2.4763928234183192E-3"/>
  </r>
  <r>
    <s v="P297"/>
    <x v="1"/>
    <s v="2024-12-24"/>
    <x v="5"/>
    <s v="Explore the latest text on Myntra! Trendy styles await."/>
    <n v="2166"/>
    <n v="354"/>
    <n v="117"/>
    <n v="10830"/>
    <n v="10245"/>
    <n v="24"/>
    <x v="0"/>
    <s v="FashionUpgrade"/>
    <n v="2.4349030470914128E-3"/>
  </r>
  <r>
    <s v="P181"/>
    <x v="2"/>
    <s v="2025-03-21"/>
    <x v="4"/>
    <s v="Explore the latest image on Myntra! Trendy styles await."/>
    <n v="606"/>
    <n v="789"/>
    <n v="470"/>
    <n v="7878"/>
    <n v="7389"/>
    <n v="239"/>
    <x v="1"/>
    <s v="EndOfSeasonSale"/>
    <n v="2.3673521198273673E-3"/>
  </r>
  <r>
    <s v="P246"/>
    <x v="3"/>
    <s v="2024-10-11"/>
    <x v="4"/>
    <s v="Explore the latest image on Myntra! Trendy styles await."/>
    <n v="400"/>
    <n v="680"/>
    <n v="434"/>
    <n v="6400"/>
    <n v="5472"/>
    <n v="160"/>
    <x v="1"/>
    <s v="EndOfSeasonSale"/>
    <n v="2.3656250000000001E-3"/>
  </r>
  <r>
    <s v="P123"/>
    <x v="0"/>
    <s v="2024-06-14"/>
    <x v="0"/>
    <s v="Explore the latest story on Myntra! Trendy styles await."/>
    <n v="4363"/>
    <n v="649"/>
    <n v="140"/>
    <n v="21815"/>
    <n v="21481"/>
    <n v="157"/>
    <x v="1"/>
    <s v="EndOfSeasonSale"/>
    <n v="2.3616777446710977E-3"/>
  </r>
  <r>
    <s v="P120"/>
    <x v="3"/>
    <s v="2024-10-21"/>
    <x v="0"/>
    <s v="Explore the latest story on Myntra! Trendy styles await."/>
    <n v="780"/>
    <n v="928"/>
    <n v="301"/>
    <n v="8580"/>
    <n v="8081"/>
    <n v="91"/>
    <x v="1"/>
    <s v="StyleRevolution"/>
    <n v="2.3414918414918413E-3"/>
  </r>
  <r>
    <s v="P141"/>
    <x v="1"/>
    <s v="2024-08-31"/>
    <x v="4"/>
    <s v="Explore the latest image on Myntra! Trendy styles await."/>
    <n v="3170"/>
    <n v="857"/>
    <n v="379"/>
    <n v="19020"/>
    <n v="18559"/>
    <n v="240"/>
    <x v="1"/>
    <s v="MyntraFestiveEdit"/>
    <n v="2.3165089379600422E-3"/>
  </r>
  <r>
    <s v="P163"/>
    <x v="0"/>
    <s v="2025-04-08"/>
    <x v="4"/>
    <s v="Explore the latest image on Myntra! Trendy styles await."/>
    <n v="4501"/>
    <n v="375"/>
    <n v="323"/>
    <n v="22505"/>
    <n v="21836"/>
    <n v="132"/>
    <x v="2"/>
    <s v="StyleRevolution"/>
    <n v="2.3101532992668298E-3"/>
  </r>
  <r>
    <s v="P269"/>
    <x v="0"/>
    <s v="2024-11-05"/>
    <x v="2"/>
    <s v="Explore the latest video on Myntra! Trendy styles await."/>
    <n v="4561"/>
    <n v="51"/>
    <n v="441"/>
    <n v="22805"/>
    <n v="21890"/>
    <n v="45"/>
    <x v="0"/>
    <s v="EndOfSeasonSale"/>
    <n v="2.2157421618066216E-3"/>
  </r>
  <r>
    <s v="P042"/>
    <x v="2"/>
    <s v="2025-03-05"/>
    <x v="1"/>
    <s v="Explore the latest reel on Myntra! Trendy styles await."/>
    <n v="1543"/>
    <n v="820"/>
    <n v="333"/>
    <n v="12344"/>
    <n v="11496"/>
    <n v="241"/>
    <x v="0"/>
    <s v="MyntraFestiveEdit"/>
    <n v="2.1840570317563186E-3"/>
  </r>
  <r>
    <s v="P043"/>
    <x v="0"/>
    <s v="2024-12-14"/>
    <x v="3"/>
    <s v="Explore the latest carousel on Myntra! Trendy styles await."/>
    <n v="2174"/>
    <n v="658"/>
    <n v="15"/>
    <n v="13044"/>
    <n v="12206"/>
    <n v="137"/>
    <x v="1"/>
    <s v="StyleRevolution"/>
    <n v="2.1826126954921803E-3"/>
  </r>
  <r>
    <s v="P159"/>
    <x v="3"/>
    <s v="2024-11-25"/>
    <x v="0"/>
    <s v="Explore the latest story on Myntra! Trendy styles await."/>
    <n v="2120"/>
    <n v="158"/>
    <n v="488"/>
    <n v="12720"/>
    <n v="12085"/>
    <n v="17"/>
    <x v="0"/>
    <s v="EndOfSeasonSale"/>
    <n v="2.1745283018867927E-3"/>
  </r>
  <r>
    <s v="P146"/>
    <x v="2"/>
    <s v="2024-06-05"/>
    <x v="1"/>
    <s v="Explore the latest reel on Myntra! Trendy styles await."/>
    <n v="3065"/>
    <n v="772"/>
    <n v="142"/>
    <n v="18390"/>
    <n v="17875"/>
    <n v="200"/>
    <x v="0"/>
    <s v="FashionUpgrade"/>
    <n v="2.1636759108210986E-3"/>
  </r>
  <r>
    <s v="P029"/>
    <x v="0"/>
    <s v="2025-01-31"/>
    <x v="3"/>
    <s v="Explore the latest carousel on Myntra! Trendy styles await."/>
    <n v="2566"/>
    <n v="118"/>
    <n v="37"/>
    <n v="12830"/>
    <n v="12264"/>
    <n v="221"/>
    <x v="4"/>
    <s v="MyntraFestiveEdit"/>
    <n v="2.1208106001558845E-3"/>
  </r>
  <r>
    <s v="P137"/>
    <x v="3"/>
    <s v="2024-07-31"/>
    <x v="2"/>
    <s v="Explore the latest video on Myntra! Trendy styles await."/>
    <n v="3008"/>
    <n v="94"/>
    <n v="37"/>
    <n v="15040"/>
    <n v="14639"/>
    <n v="277"/>
    <x v="3"/>
    <s v="FashionUpgrade"/>
    <n v="2.087101063829787E-3"/>
  </r>
  <r>
    <s v="P087"/>
    <x v="1"/>
    <s v="2024-06-06"/>
    <x v="2"/>
    <s v="Explore the latest video on Myntra! Trendy styles await."/>
    <n v="1436"/>
    <n v="765"/>
    <n v="496"/>
    <n v="12924"/>
    <n v="12701"/>
    <n v="197"/>
    <x v="4"/>
    <s v="EndOfSeasonSale"/>
    <n v="2.0868152274837511E-3"/>
  </r>
  <r>
    <s v="P271"/>
    <x v="0"/>
    <s v="2024-10-17"/>
    <x v="2"/>
    <s v="Explore the latest video on Myntra! Trendy styles await."/>
    <n v="3575"/>
    <n v="749"/>
    <n v="111"/>
    <n v="21450"/>
    <n v="20785"/>
    <n v="195"/>
    <x v="3"/>
    <s v="MyntraFestiveEdit"/>
    <n v="2.0675990675990677E-3"/>
  </r>
  <r>
    <s v="P077"/>
    <x v="3"/>
    <s v="2025-03-04"/>
    <x v="0"/>
    <s v="Explore the latest story on Myntra! Trendy styles await."/>
    <n v="1249"/>
    <n v="116"/>
    <n v="420"/>
    <n v="8743"/>
    <n v="8538"/>
    <n v="63"/>
    <x v="2"/>
    <s v="MyntraFestiveEdit"/>
    <n v="2.0416333066453161E-3"/>
  </r>
  <r>
    <s v="P136"/>
    <x v="0"/>
    <s v="2024-07-11"/>
    <x v="5"/>
    <s v="Explore the latest text on Myntra! Trendy styles await."/>
    <n v="3134"/>
    <n v="888"/>
    <n v="444"/>
    <n v="21938"/>
    <n v="21337"/>
    <n v="130"/>
    <x v="1"/>
    <s v="StyleRevolution"/>
    <n v="2.0357370772176135E-3"/>
  </r>
  <r>
    <s v="P258"/>
    <x v="0"/>
    <s v="2024-08-05"/>
    <x v="0"/>
    <s v="Explore the latest story on Myntra! Trendy styles await."/>
    <n v="3601"/>
    <n v="695"/>
    <n v="75"/>
    <n v="21606"/>
    <n v="21454"/>
    <n v="172"/>
    <x v="0"/>
    <s v="EndOfSeasonSale"/>
    <n v="2.0230491530130522E-3"/>
  </r>
  <r>
    <s v="P276"/>
    <x v="1"/>
    <s v="2024-06-07"/>
    <x v="3"/>
    <s v="Explore the latest carousel on Myntra! Trendy styles await."/>
    <n v="1556"/>
    <n v="195"/>
    <n v="131"/>
    <n v="9336"/>
    <n v="8875"/>
    <n v="137"/>
    <x v="2"/>
    <s v="EndOfSeasonSale"/>
    <n v="2.015852613538989E-3"/>
  </r>
  <r>
    <s v="P148"/>
    <x v="0"/>
    <s v="2025-04-15"/>
    <x v="2"/>
    <s v="Explore the latest video on Myntra! Trendy styles await."/>
    <n v="4133"/>
    <n v="466"/>
    <n v="327"/>
    <n v="24798"/>
    <n v="24620"/>
    <n v="176"/>
    <x v="0"/>
    <s v="EndOfSeasonSale"/>
    <n v="1.9864505202032423E-3"/>
  </r>
  <r>
    <s v="P198"/>
    <x v="1"/>
    <s v="2024-09-14"/>
    <x v="4"/>
    <s v="Explore the latest image on Myntra! Trendy styles await."/>
    <n v="1048"/>
    <n v="374"/>
    <n v="450"/>
    <n v="9432"/>
    <n v="8882"/>
    <n v="158"/>
    <x v="4"/>
    <s v="EndOfSeasonSale"/>
    <n v="1.984732824427481E-3"/>
  </r>
  <r>
    <s v="P152"/>
    <x v="3"/>
    <s v="2025-04-22"/>
    <x v="4"/>
    <s v="Explore the latest image on Myntra! Trendy styles await."/>
    <n v="4804"/>
    <n v="550"/>
    <n v="270"/>
    <n v="28824"/>
    <n v="28370"/>
    <n v="47"/>
    <x v="1"/>
    <s v="StyleRevolution"/>
    <n v="1.9511518179295031E-3"/>
  </r>
  <r>
    <s v="P286"/>
    <x v="2"/>
    <s v="2024-09-25"/>
    <x v="2"/>
    <s v="Explore the latest video on Myntra! Trendy styles await."/>
    <n v="3389"/>
    <n v="344"/>
    <n v="229"/>
    <n v="20334"/>
    <n v="19443"/>
    <n v="228"/>
    <x v="2"/>
    <s v="EndOfSeasonSale"/>
    <n v="1.9484607062063538E-3"/>
  </r>
  <r>
    <s v="P068"/>
    <x v="0"/>
    <s v="2024-12-08"/>
    <x v="0"/>
    <s v="Explore the latest story on Myntra! Trendy styles await."/>
    <n v="2610"/>
    <n v="126"/>
    <n v="288"/>
    <n v="15660"/>
    <n v="15145"/>
    <n v="73"/>
    <x v="2"/>
    <s v="FashionUpgrade"/>
    <n v="1.9310344827586207E-3"/>
  </r>
  <r>
    <s v="P085"/>
    <x v="0"/>
    <s v="2025-04-19"/>
    <x v="4"/>
    <s v="Explore the latest image on Myntra! Trendy styles await."/>
    <n v="4177"/>
    <n v="569"/>
    <n v="55"/>
    <n v="25062"/>
    <n v="24847"/>
    <n v="230"/>
    <x v="2"/>
    <s v="FashionUpgrade"/>
    <n v="1.9156491900087782E-3"/>
  </r>
  <r>
    <s v="P032"/>
    <x v="1"/>
    <s v="2024-07-31"/>
    <x v="3"/>
    <s v="Explore the latest carousel on Myntra! Trendy styles await."/>
    <n v="2278"/>
    <n v="10"/>
    <n v="321"/>
    <n v="13668"/>
    <n v="12676"/>
    <n v="275"/>
    <x v="4"/>
    <s v="StyleRevolution"/>
    <n v="1.908838162130524E-3"/>
  </r>
  <r>
    <s v="P218"/>
    <x v="3"/>
    <s v="2024-06-11"/>
    <x v="3"/>
    <s v="Explore the latest carousel on Myntra! Trendy styles await."/>
    <n v="1869"/>
    <n v="453"/>
    <n v="490"/>
    <n v="14952"/>
    <n v="14309"/>
    <n v="275"/>
    <x v="3"/>
    <s v="FashionUpgrade"/>
    <n v="1.8806848582129483E-3"/>
  </r>
  <r>
    <s v="P211"/>
    <x v="1"/>
    <s v="2024-07-18"/>
    <x v="3"/>
    <s v="Explore the latest carousel on Myntra! Trendy styles await."/>
    <n v="2120"/>
    <n v="38"/>
    <n v="212"/>
    <n v="12720"/>
    <n v="12564"/>
    <n v="21"/>
    <x v="4"/>
    <s v="FashionUpgrade"/>
    <n v="1.8632075471698112E-3"/>
  </r>
  <r>
    <s v="P242"/>
    <x v="3"/>
    <s v="2024-07-07"/>
    <x v="1"/>
    <s v="Explore the latest reel on Myntra! Trendy styles await."/>
    <n v="4767"/>
    <n v="190"/>
    <n v="340"/>
    <n v="28602"/>
    <n v="28044"/>
    <n v="210"/>
    <x v="3"/>
    <s v="StyleRevolution"/>
    <n v="1.8519683938186141E-3"/>
  </r>
  <r>
    <s v="P041"/>
    <x v="0"/>
    <s v="2025-03-08"/>
    <x v="1"/>
    <s v="Explore the latest reel on Myntra! Trendy styles await."/>
    <n v="456"/>
    <n v="629"/>
    <n v="428"/>
    <n v="8208"/>
    <n v="7377"/>
    <n v="205"/>
    <x v="1"/>
    <s v="MyntraFestiveEdit"/>
    <n v="1.8433235867446392E-3"/>
  </r>
  <r>
    <s v="P294"/>
    <x v="3"/>
    <s v="2024-06-19"/>
    <x v="3"/>
    <s v="Explore the latest carousel on Myntra! Trendy styles await."/>
    <n v="4731"/>
    <n v="173"/>
    <n v="276"/>
    <n v="28386"/>
    <n v="28185"/>
    <n v="89"/>
    <x v="4"/>
    <s v="StyleRevolution"/>
    <n v="1.8248432325794406E-3"/>
  </r>
  <r>
    <s v="P006"/>
    <x v="3"/>
    <s v="2024-10-31"/>
    <x v="3"/>
    <s v="Explore the latest carousel on Myntra! Trendy styles await."/>
    <n v="2945"/>
    <n v="930"/>
    <n v="355"/>
    <n v="23560"/>
    <n v="23275"/>
    <n v="256"/>
    <x v="4"/>
    <s v="EndOfSeasonSale"/>
    <n v="1.7954159592529712E-3"/>
  </r>
  <r>
    <s v="P153"/>
    <x v="1"/>
    <s v="2025-01-01"/>
    <x v="2"/>
    <s v="Explore the latest video on Myntra! Trendy styles await."/>
    <n v="754"/>
    <n v="197"/>
    <n v="257"/>
    <n v="6786"/>
    <n v="6221"/>
    <n v="212"/>
    <x v="3"/>
    <s v="MyntraFestiveEdit"/>
    <n v="1.7801355732390215E-3"/>
  </r>
  <r>
    <s v="P037"/>
    <x v="3"/>
    <s v="2025-01-06"/>
    <x v="3"/>
    <s v="Explore the latest carousel on Myntra! Trendy styles await."/>
    <n v="3024"/>
    <n v="925"/>
    <n v="350"/>
    <n v="24192"/>
    <n v="23518"/>
    <n v="36"/>
    <x v="1"/>
    <s v="MyntraFestiveEdit"/>
    <n v="1.7770337301587303E-3"/>
  </r>
  <r>
    <s v="P241"/>
    <x v="3"/>
    <s v="2025-01-18"/>
    <x v="0"/>
    <s v="Explore the latest story on Myntra! Trendy styles await."/>
    <n v="4321"/>
    <n v="874"/>
    <n v="172"/>
    <n v="30247"/>
    <n v="29254"/>
    <n v="122"/>
    <x v="1"/>
    <s v="MyntraFestiveEdit"/>
    <n v="1.7743908486792079E-3"/>
  </r>
  <r>
    <s v="P112"/>
    <x v="1"/>
    <s v="2024-10-05"/>
    <x v="0"/>
    <s v="Explore the latest story on Myntra! Trendy styles await."/>
    <n v="1957"/>
    <n v="877"/>
    <n v="238"/>
    <n v="17613"/>
    <n v="16865"/>
    <n v="297"/>
    <x v="2"/>
    <s v="MyntraFestiveEdit"/>
    <n v="1.7441662408448305E-3"/>
  </r>
  <r>
    <s v="P129"/>
    <x v="1"/>
    <s v="2024-07-21"/>
    <x v="5"/>
    <s v="Explore the latest text on Myntra! Trendy styles await."/>
    <n v="2147"/>
    <n v="430"/>
    <n v="393"/>
    <n v="17176"/>
    <n v="16483"/>
    <n v="170"/>
    <x v="3"/>
    <s v="StyleRevolution"/>
    <n v="1.7291569632044714E-3"/>
  </r>
  <r>
    <s v="P028"/>
    <x v="0"/>
    <s v="2025-03-04"/>
    <x v="2"/>
    <s v="Explore the latest video on Myntra! Trendy styles await."/>
    <n v="432"/>
    <n v="624"/>
    <n v="123"/>
    <n v="6912"/>
    <n v="6259"/>
    <n v="79"/>
    <x v="1"/>
    <s v="EndOfSeasonSale"/>
    <n v="1.7057291666666666E-3"/>
  </r>
  <r>
    <s v="P046"/>
    <x v="1"/>
    <s v="2025-05-02"/>
    <x v="2"/>
    <s v="Explore the latest video on Myntra! Trendy styles await."/>
    <n v="1108"/>
    <n v="177"/>
    <n v="212"/>
    <n v="8864"/>
    <n v="8710"/>
    <n v="97"/>
    <x v="2"/>
    <s v="StyleRevolution"/>
    <n v="1.6888537906137185E-3"/>
  </r>
  <r>
    <s v="P089"/>
    <x v="1"/>
    <s v="2025-01-10"/>
    <x v="4"/>
    <s v="Explore the latest image on Myntra! Trendy styles await."/>
    <n v="2214"/>
    <n v="249"/>
    <n v="152"/>
    <n v="15498"/>
    <n v="14800"/>
    <n v="180"/>
    <x v="1"/>
    <s v="EndOfSeasonSale"/>
    <n v="1.6873144921925409E-3"/>
  </r>
  <r>
    <s v="P094"/>
    <x v="0"/>
    <s v="2024-11-07"/>
    <x v="4"/>
    <s v="Explore the latest image on Myntra! Trendy styles await."/>
    <n v="2647"/>
    <n v="304"/>
    <n v="170"/>
    <n v="18529"/>
    <n v="17841"/>
    <n v="46"/>
    <x v="0"/>
    <s v="EndOfSeasonSale"/>
    <n v="1.6843866371633656E-3"/>
  </r>
  <r>
    <s v="P116"/>
    <x v="2"/>
    <s v="2025-03-18"/>
    <x v="1"/>
    <s v="Explore the latest reel on Myntra! Trendy styles await."/>
    <n v="3704"/>
    <n v="186"/>
    <n v="458"/>
    <n v="25928"/>
    <n v="25081"/>
    <n v="131"/>
    <x v="0"/>
    <s v="FashionUpgrade"/>
    <n v="1.6769515581610613E-3"/>
  </r>
  <r>
    <s v="P275"/>
    <x v="3"/>
    <s v="2024-08-05"/>
    <x v="1"/>
    <s v="Explore the latest reel on Myntra! Trendy styles await."/>
    <n v="1741"/>
    <n v="831"/>
    <n v="345"/>
    <n v="17410"/>
    <n v="16844"/>
    <n v="58"/>
    <x v="2"/>
    <s v="StyleRevolution"/>
    <n v="1.6754738655944859E-3"/>
  </r>
  <r>
    <s v="P109"/>
    <x v="1"/>
    <s v="2024-08-08"/>
    <x v="0"/>
    <s v="Explore the latest story on Myntra! Trendy styles await."/>
    <n v="3649"/>
    <n v="215"/>
    <n v="413"/>
    <n v="25543"/>
    <n v="24963"/>
    <n v="167"/>
    <x v="2"/>
    <s v="FashionUpgrade"/>
    <n v="1.6744313510550835E-3"/>
  </r>
  <r>
    <s v="P047"/>
    <x v="1"/>
    <s v="2025-02-24"/>
    <x v="3"/>
    <s v="Explore the latest carousel on Myntra! Trendy styles await."/>
    <n v="2704"/>
    <n v="752"/>
    <n v="153"/>
    <n v="21632"/>
    <n v="20792"/>
    <n v="127"/>
    <x v="3"/>
    <s v="FashionUpgrade"/>
    <n v="1.6683616863905327E-3"/>
  </r>
  <r>
    <s v="P295"/>
    <x v="1"/>
    <s v="2025-05-06"/>
    <x v="4"/>
    <s v="Explore the latest image on Myntra! Trendy styles await."/>
    <n v="1952"/>
    <n v="344"/>
    <n v="287"/>
    <n v="15616"/>
    <n v="15403"/>
    <n v="235"/>
    <x v="1"/>
    <s v="MyntraFestiveEdit"/>
    <n v="1.6540727459016394E-3"/>
  </r>
  <r>
    <s v="P054"/>
    <x v="2"/>
    <s v="2025-03-13"/>
    <x v="3"/>
    <s v="Explore the latest carousel on Myntra! Trendy styles await."/>
    <n v="1686"/>
    <n v="904"/>
    <n v="472"/>
    <n v="18546"/>
    <n v="18171"/>
    <n v="52"/>
    <x v="2"/>
    <s v="EndOfSeasonSale"/>
    <n v="1.6510298716704412E-3"/>
  </r>
  <r>
    <s v="P060"/>
    <x v="0"/>
    <s v="2025-01-28"/>
    <x v="2"/>
    <s v="Explore the latest video on Myntra! Trendy styles await."/>
    <n v="904"/>
    <n v="973"/>
    <n v="63"/>
    <n v="11752"/>
    <n v="11580"/>
    <n v="84"/>
    <x v="0"/>
    <s v="FashionUpgrade"/>
    <n v="1.650782845473111E-3"/>
  </r>
  <r>
    <s v="P083"/>
    <x v="2"/>
    <s v="2024-10-15"/>
    <x v="2"/>
    <s v="Explore the latest video on Myntra! Trendy styles await."/>
    <n v="1094"/>
    <n v="472"/>
    <n v="21"/>
    <n v="9846"/>
    <n v="9609"/>
    <n v="112"/>
    <x v="4"/>
    <s v="MyntraFestiveEdit"/>
    <n v="1.6118220597196831E-3"/>
  </r>
  <r>
    <s v="P138"/>
    <x v="1"/>
    <s v="2025-03-29"/>
    <x v="4"/>
    <s v="Explore the latest image on Myntra! Trendy styles await."/>
    <n v="305"/>
    <n v="187"/>
    <n v="243"/>
    <n v="4575"/>
    <n v="3704"/>
    <n v="234"/>
    <x v="2"/>
    <s v="StyleRevolution"/>
    <n v="1.6065573770491803E-3"/>
  </r>
  <r>
    <s v="P221"/>
    <x v="3"/>
    <s v="2025-03-23"/>
    <x v="2"/>
    <s v="Explore the latest video on Myntra! Trendy styles await."/>
    <n v="4453"/>
    <n v="111"/>
    <n v="420"/>
    <n v="31171"/>
    <n v="30565"/>
    <n v="23"/>
    <x v="4"/>
    <s v="StyleRevolution"/>
    <n v="1.5989220750056141E-3"/>
  </r>
  <r>
    <s v="P252"/>
    <x v="3"/>
    <s v="2025-04-28"/>
    <x v="3"/>
    <s v="Explore the latest carousel on Myntra! Trendy styles await."/>
    <n v="2089"/>
    <n v="476"/>
    <n v="69"/>
    <n v="16712"/>
    <n v="16309"/>
    <n v="64"/>
    <x v="0"/>
    <s v="FashionUpgrade"/>
    <n v="1.5761129727142173E-3"/>
  </r>
  <r>
    <s v="P052"/>
    <x v="3"/>
    <s v="2025-01-03"/>
    <x v="4"/>
    <s v="Explore the latest image on Myntra! Trendy styles await."/>
    <n v="947"/>
    <n v="338"/>
    <n v="350"/>
    <n v="10417"/>
    <n v="9730"/>
    <n v="34"/>
    <x v="2"/>
    <s v="MyntraFestiveEdit"/>
    <n v="1.5695497744072191E-3"/>
  </r>
  <r>
    <s v="P140"/>
    <x v="3"/>
    <s v="2024-07-15"/>
    <x v="4"/>
    <s v="Explore the latest image on Myntra! Trendy styles await."/>
    <n v="2291"/>
    <n v="78"/>
    <n v="485"/>
    <n v="18328"/>
    <n v="18101"/>
    <n v="10"/>
    <x v="3"/>
    <s v="FashionUpgrade"/>
    <n v="1.5571802706241817E-3"/>
  </r>
  <r>
    <s v="P165"/>
    <x v="1"/>
    <s v="2024-12-11"/>
    <x v="5"/>
    <s v="Explore the latest text on Myntra! Trendy styles await."/>
    <n v="3239"/>
    <n v="43"/>
    <n v="211"/>
    <n v="22673"/>
    <n v="22171"/>
    <n v="230"/>
    <x v="4"/>
    <s v="EndOfSeasonSale"/>
    <n v="1.5405989502933004E-3"/>
  </r>
  <r>
    <s v="P164"/>
    <x v="2"/>
    <s v="2025-02-27"/>
    <x v="5"/>
    <s v="Explore the latest text on Myntra! Trendy styles await."/>
    <n v="4934"/>
    <n v="971"/>
    <n v="156"/>
    <n v="39472"/>
    <n v="39025"/>
    <n v="169"/>
    <x v="3"/>
    <s v="EndOfSeasonSale"/>
    <n v="1.5355188488042158E-3"/>
  </r>
  <r>
    <s v="P262"/>
    <x v="2"/>
    <s v="2025-01-18"/>
    <x v="4"/>
    <s v="Explore the latest image on Myntra! Trendy styles await."/>
    <n v="1206"/>
    <n v="238"/>
    <n v="36"/>
    <n v="9648"/>
    <n v="9417"/>
    <n v="237"/>
    <x v="1"/>
    <s v="MyntraFestiveEdit"/>
    <n v="1.5339966832504145E-3"/>
  </r>
  <r>
    <s v="P147"/>
    <x v="0"/>
    <s v="2024-10-21"/>
    <x v="1"/>
    <s v="Explore the latest reel on Myntra! Trendy styles await."/>
    <n v="3256"/>
    <n v="459"/>
    <n v="266"/>
    <n v="26048"/>
    <n v="25529"/>
    <n v="143"/>
    <x v="1"/>
    <s v="MyntraFestiveEdit"/>
    <n v="1.5283323095823095E-3"/>
  </r>
  <r>
    <s v="P004"/>
    <x v="0"/>
    <s v="2024-08-12"/>
    <x v="0"/>
    <s v="Explore the latest story on Myntra! Trendy styles await."/>
    <n v="2404"/>
    <n v="363"/>
    <n v="138"/>
    <n v="19232"/>
    <n v="18636"/>
    <n v="128"/>
    <x v="1"/>
    <s v="FashionUpgrade"/>
    <n v="1.5105033277870218E-3"/>
  </r>
  <r>
    <s v="P014"/>
    <x v="3"/>
    <s v="2025-02-16"/>
    <x v="0"/>
    <s v="Explore the latest story on Myntra! Trendy styles await."/>
    <n v="4242"/>
    <n v="555"/>
    <n v="131"/>
    <n v="33936"/>
    <n v="33802"/>
    <n v="265"/>
    <x v="1"/>
    <s v="MyntraFestiveEdit"/>
    <n v="1.4521452145214522E-3"/>
  </r>
  <r>
    <s v="P192"/>
    <x v="0"/>
    <s v="2024-11-29"/>
    <x v="2"/>
    <s v="Explore the latest video on Myntra! Trendy styles await."/>
    <n v="1176"/>
    <n v="464"/>
    <n v="394"/>
    <n v="14112"/>
    <n v="13588"/>
    <n v="272"/>
    <x v="3"/>
    <s v="FashionUpgrade"/>
    <n v="1.441326530612245E-3"/>
  </r>
  <r>
    <s v="P173"/>
    <x v="1"/>
    <s v="2024-12-05"/>
    <x v="2"/>
    <s v="Explore the latest video on Myntra! Trendy styles await."/>
    <n v="1330"/>
    <n v="925"/>
    <n v="35"/>
    <n v="15960"/>
    <n v="15379"/>
    <n v="229"/>
    <x v="3"/>
    <s v="StyleRevolution"/>
    <n v="1.4348370927318296E-3"/>
  </r>
  <r>
    <s v="P166"/>
    <x v="1"/>
    <s v="2025-02-16"/>
    <x v="1"/>
    <s v="Explore the latest reel on Myntra! Trendy styles await."/>
    <n v="1076"/>
    <n v="313"/>
    <n v="306"/>
    <n v="11836"/>
    <n v="11596"/>
    <n v="104"/>
    <x v="3"/>
    <s v="EndOfSeasonSale"/>
    <n v="1.4320716458262927E-3"/>
  </r>
  <r>
    <s v="P207"/>
    <x v="1"/>
    <s v="2024-12-29"/>
    <x v="3"/>
    <s v="Explore the latest carousel on Myntra! Trendy styles await."/>
    <n v="4274"/>
    <n v="340"/>
    <n v="281"/>
    <n v="34192"/>
    <n v="33446"/>
    <n v="129"/>
    <x v="0"/>
    <s v="MyntraFestiveEdit"/>
    <n v="1.4316214319138982E-3"/>
  </r>
  <r>
    <s v="P061"/>
    <x v="1"/>
    <s v="2024-09-05"/>
    <x v="2"/>
    <s v="Explore the latest video on Myntra! Trendy styles await."/>
    <n v="4886"/>
    <n v="983"/>
    <n v="409"/>
    <n v="43974"/>
    <n v="43239"/>
    <n v="65"/>
    <x v="2"/>
    <s v="FashionUpgrade"/>
    <n v="1.4276618001546368E-3"/>
  </r>
  <r>
    <s v="P125"/>
    <x v="1"/>
    <s v="2024-09-08"/>
    <x v="3"/>
    <s v="Explore the latest carousel on Myntra! Trendy styles await."/>
    <n v="3811"/>
    <n v="866"/>
    <n v="216"/>
    <n v="34299"/>
    <n v="34088"/>
    <n v="233"/>
    <x v="0"/>
    <s v="MyntraFestiveEdit"/>
    <n v="1.4265722032712324E-3"/>
  </r>
  <r>
    <s v="P272"/>
    <x v="0"/>
    <s v="2025-03-27"/>
    <x v="5"/>
    <s v="Explore the latest text on Myntra! Trendy styles await."/>
    <n v="4941"/>
    <n v="414"/>
    <n v="266"/>
    <n v="39528"/>
    <n v="39154"/>
    <n v="217"/>
    <x v="1"/>
    <s v="EndOfSeasonSale"/>
    <n v="1.4220299534507186E-3"/>
  </r>
  <r>
    <s v="P040"/>
    <x v="1"/>
    <s v="2025-03-07"/>
    <x v="4"/>
    <s v="Explore the latest image on Myntra! Trendy styles await."/>
    <n v="4750"/>
    <n v="151"/>
    <n v="415"/>
    <n v="38000"/>
    <n v="37792"/>
    <n v="299"/>
    <x v="0"/>
    <s v="EndOfSeasonSale"/>
    <n v="1.3989473684210526E-3"/>
  </r>
  <r>
    <s v="P299"/>
    <x v="3"/>
    <s v="2024-08-26"/>
    <x v="4"/>
    <s v="Explore the latest image on Myntra! Trendy styles await."/>
    <n v="2581"/>
    <n v="517"/>
    <n v="117"/>
    <n v="23229"/>
    <n v="22331"/>
    <n v="70"/>
    <x v="1"/>
    <s v="EndOfSeasonSale"/>
    <n v="1.3840458048129491E-3"/>
  </r>
  <r>
    <s v="P174"/>
    <x v="3"/>
    <s v="2024-06-22"/>
    <x v="5"/>
    <s v="Explore the latest text on Myntra! Trendy styles await."/>
    <n v="3828"/>
    <n v="148"/>
    <n v="253"/>
    <n v="30624"/>
    <n v="30229"/>
    <n v="235"/>
    <x v="1"/>
    <s v="StyleRevolution"/>
    <n v="1.3809430512016717E-3"/>
  </r>
  <r>
    <s v="P104"/>
    <x v="2"/>
    <s v="2025-03-23"/>
    <x v="0"/>
    <s v="Explore the latest story on Myntra! Trendy styles await."/>
    <n v="3655"/>
    <n v="568"/>
    <n v="286"/>
    <n v="32895"/>
    <n v="32015"/>
    <n v="199"/>
    <x v="4"/>
    <s v="StyleRevolution"/>
    <n v="1.3707250341997265E-3"/>
  </r>
  <r>
    <s v="P195"/>
    <x v="0"/>
    <s v="2024-08-15"/>
    <x v="3"/>
    <s v="Explore the latest carousel on Myntra! Trendy styles await."/>
    <n v="914"/>
    <n v="464"/>
    <n v="246"/>
    <n v="11882"/>
    <n v="11500"/>
    <n v="282"/>
    <x v="2"/>
    <s v="MyntraFestiveEdit"/>
    <n v="1.3667732704931829E-3"/>
  </r>
  <r>
    <s v="P184"/>
    <x v="1"/>
    <s v="2024-07-28"/>
    <x v="4"/>
    <s v="Explore the latest image on Myntra! Trendy styles await."/>
    <n v="3215"/>
    <n v="960"/>
    <n v="202"/>
    <n v="32150"/>
    <n v="31404"/>
    <n v="251"/>
    <x v="0"/>
    <s v="MyntraFestiveEdit"/>
    <n v="1.3614307931570763E-3"/>
  </r>
  <r>
    <s v="P092"/>
    <x v="1"/>
    <s v="2024-10-21"/>
    <x v="0"/>
    <s v="Explore the latest story on Myntra! Trendy styles await."/>
    <n v="3801"/>
    <n v="967"/>
    <n v="401"/>
    <n v="38010"/>
    <n v="37625"/>
    <n v="236"/>
    <x v="0"/>
    <s v="StyleRevolution"/>
    <n v="1.3599052880820836E-3"/>
  </r>
  <r>
    <s v="P088"/>
    <x v="3"/>
    <s v="2024-07-07"/>
    <x v="0"/>
    <s v="Explore the latest story on Myntra! Trendy styles await."/>
    <n v="302"/>
    <n v="47"/>
    <n v="430"/>
    <n v="5738"/>
    <n v="4890"/>
    <n v="25"/>
    <x v="2"/>
    <s v="EndOfSeasonSale"/>
    <n v="1.357615894039735E-3"/>
  </r>
  <r>
    <s v="P285"/>
    <x v="2"/>
    <s v="2024-07-18"/>
    <x v="5"/>
    <s v="Explore the latest text on Myntra! Trendy styles await."/>
    <n v="4021"/>
    <n v="794"/>
    <n v="77"/>
    <n v="36189"/>
    <n v="35505"/>
    <n v="174"/>
    <x v="3"/>
    <s v="FashionUpgrade"/>
    <n v="1.3517919809886982E-3"/>
  </r>
  <r>
    <s v="P050"/>
    <x v="2"/>
    <s v="2024-07-03"/>
    <x v="0"/>
    <s v="Explore the latest story on Myntra! Trendy styles await."/>
    <n v="2754"/>
    <n v="130"/>
    <n v="90"/>
    <n v="22032"/>
    <n v="21288"/>
    <n v="112"/>
    <x v="2"/>
    <s v="FashionUpgrade"/>
    <n v="1.3498547567175018E-3"/>
  </r>
  <r>
    <s v="P132"/>
    <x v="0"/>
    <s v="2025-03-04"/>
    <x v="0"/>
    <s v="Explore the latest story on Myntra! Trendy styles await."/>
    <n v="1947"/>
    <n v="842"/>
    <n v="101"/>
    <n v="21417"/>
    <n v="20967"/>
    <n v="186"/>
    <x v="2"/>
    <s v="EndOfSeasonSale"/>
    <n v="1.3493953401503478E-3"/>
  </r>
  <r>
    <s v="P229"/>
    <x v="0"/>
    <s v="2024-07-03"/>
    <x v="3"/>
    <s v="Explore the latest carousel on Myntra! Trendy styles await."/>
    <n v="4799"/>
    <n v="694"/>
    <n v="289"/>
    <n v="43191"/>
    <n v="42228"/>
    <n v="118"/>
    <x v="4"/>
    <s v="EndOfSeasonSale"/>
    <n v="1.3387048227640017E-3"/>
  </r>
  <r>
    <s v="P074"/>
    <x v="2"/>
    <s v="2024-10-28"/>
    <x v="1"/>
    <s v="Explore the latest reel on Myntra! Trendy styles await."/>
    <n v="1855"/>
    <n v="200"/>
    <n v="174"/>
    <n v="16695"/>
    <n v="16330"/>
    <n v="123"/>
    <x v="2"/>
    <s v="MyntraFestiveEdit"/>
    <n v="1.3351302785265049E-3"/>
  </r>
  <r>
    <s v="P254"/>
    <x v="1"/>
    <s v="2025-01-14"/>
    <x v="4"/>
    <s v="Explore the latest image on Myntra! Trendy styles await."/>
    <n v="2692"/>
    <n v="115"/>
    <n v="64"/>
    <n v="21536"/>
    <n v="21120"/>
    <n v="224"/>
    <x v="3"/>
    <s v="StyleRevolution"/>
    <n v="1.3331166419019316E-3"/>
  </r>
  <r>
    <s v="P131"/>
    <x v="0"/>
    <s v="2024-10-21"/>
    <x v="1"/>
    <s v="Explore the latest reel on Myntra! Trendy styles await."/>
    <n v="4840"/>
    <n v="658"/>
    <n v="211"/>
    <n v="43560"/>
    <n v="43225"/>
    <n v="57"/>
    <x v="1"/>
    <s v="EndOfSeasonSale"/>
    <n v="1.3106060606060607E-3"/>
  </r>
  <r>
    <s v="P236"/>
    <x v="3"/>
    <s v="2024-08-19"/>
    <x v="5"/>
    <s v="Explore the latest text on Myntra! Trendy styles await."/>
    <n v="1257"/>
    <n v="19"/>
    <n v="351"/>
    <n v="12570"/>
    <n v="11660"/>
    <n v="194"/>
    <x v="0"/>
    <s v="FashionUpgrade"/>
    <n v="1.2943516308671441E-3"/>
  </r>
  <r>
    <s v="P114"/>
    <x v="1"/>
    <s v="2024-11-14"/>
    <x v="0"/>
    <s v="Explore the latest story on Myntra! Trendy styles await."/>
    <n v="4000"/>
    <n v="689"/>
    <n v="488"/>
    <n v="40000"/>
    <n v="39569"/>
    <n v="44"/>
    <x v="3"/>
    <s v="MyntraFestiveEdit"/>
    <n v="1.29425E-3"/>
  </r>
  <r>
    <s v="P056"/>
    <x v="3"/>
    <s v="2024-12-18"/>
    <x v="3"/>
    <s v="Explore the latest carousel on Myntra! Trendy styles await."/>
    <n v="2946"/>
    <n v="498"/>
    <n v="367"/>
    <n v="29460"/>
    <n v="28527"/>
    <n v="60"/>
    <x v="0"/>
    <s v="EndOfSeasonSale"/>
    <n v="1.2936184657162252E-3"/>
  </r>
  <r>
    <s v="P105"/>
    <x v="0"/>
    <s v="2024-06-14"/>
    <x v="3"/>
    <s v="Explore the latest carousel on Myntra! Trendy styles await."/>
    <n v="498"/>
    <n v="38"/>
    <n v="42"/>
    <n v="4482"/>
    <n v="3647"/>
    <n v="32"/>
    <x v="0"/>
    <s v="StyleRevolution"/>
    <n v="1.2896028558679162E-3"/>
  </r>
  <r>
    <s v="P012"/>
    <x v="3"/>
    <s v="2024-07-21"/>
    <x v="1"/>
    <s v="Explore the latest reel on Myntra! Trendy styles await."/>
    <n v="1946"/>
    <n v="686"/>
    <n v="377"/>
    <n v="23352"/>
    <n v="22982"/>
    <n v="213"/>
    <x v="0"/>
    <s v="MyntraFestiveEdit"/>
    <n v="1.2885405960945528E-3"/>
  </r>
  <r>
    <s v="P235"/>
    <x v="3"/>
    <s v="2024-12-22"/>
    <x v="4"/>
    <s v="Explore the latest image on Myntra! Trendy styles await."/>
    <n v="3196"/>
    <n v="941"/>
    <n v="376"/>
    <n v="35156"/>
    <n v="34444"/>
    <n v="241"/>
    <x v="0"/>
    <s v="StyleRevolution"/>
    <n v="1.2837069063602229E-3"/>
  </r>
  <r>
    <s v="P033"/>
    <x v="3"/>
    <s v="2024-08-21"/>
    <x v="4"/>
    <s v="Explore the latest image on Myntra! Trendy styles await."/>
    <n v="1407"/>
    <n v="400"/>
    <n v="351"/>
    <n v="16884"/>
    <n v="15954"/>
    <n v="113"/>
    <x v="2"/>
    <s v="MyntraFestiveEdit"/>
    <n v="1.2781331438047854E-3"/>
  </r>
  <r>
    <s v="P038"/>
    <x v="2"/>
    <s v="2025-02-17"/>
    <x v="1"/>
    <s v="Explore the latest reel on Myntra! Trendy styles await."/>
    <n v="3138"/>
    <n v="123"/>
    <n v="291"/>
    <n v="28242"/>
    <n v="27550"/>
    <n v="87"/>
    <x v="3"/>
    <s v="StyleRevolution"/>
    <n v="1.2577012959422138E-3"/>
  </r>
  <r>
    <s v="P196"/>
    <x v="0"/>
    <s v="2024-12-19"/>
    <x v="5"/>
    <s v="Explore the latest text on Myntra! Trendy styles await."/>
    <n v="1813"/>
    <n v="623"/>
    <n v="72"/>
    <n v="19943"/>
    <n v="18959"/>
    <n v="85"/>
    <x v="4"/>
    <s v="MyntraFestiveEdit"/>
    <n v="1.2575841147269718E-3"/>
  </r>
  <r>
    <s v="P128"/>
    <x v="1"/>
    <s v="2025-01-10"/>
    <x v="4"/>
    <s v="Explore the latest image on Myntra! Trendy styles await."/>
    <n v="3092"/>
    <n v="106"/>
    <n v="291"/>
    <n v="27828"/>
    <n v="27217"/>
    <n v="102"/>
    <x v="0"/>
    <s v="StyleRevolution"/>
    <n v="1.2537731780940058E-3"/>
  </r>
  <r>
    <s v="P169"/>
    <x v="2"/>
    <s v="2024-12-03"/>
    <x v="2"/>
    <s v="Explore the latest video on Myntra! Trendy styles await."/>
    <n v="3809"/>
    <n v="273"/>
    <n v="200"/>
    <n v="34281"/>
    <n v="33534"/>
    <n v="83"/>
    <x v="4"/>
    <s v="MyntraFestiveEdit"/>
    <n v="1.2490884163239111E-3"/>
  </r>
  <r>
    <s v="P293"/>
    <x v="3"/>
    <s v="2025-05-14"/>
    <x v="5"/>
    <s v="Explore the latest text on Myntra! Trendy styles await."/>
    <n v="2634"/>
    <n v="726"/>
    <n v="241"/>
    <n v="28974"/>
    <n v="28102"/>
    <n v="277"/>
    <x v="0"/>
    <s v="MyntraFestiveEdit"/>
    <n v="1.2428384068475184E-3"/>
  </r>
  <r>
    <s v="P292"/>
    <x v="3"/>
    <s v="2024-11-17"/>
    <x v="5"/>
    <s v="Explore the latest text on Myntra! Trendy styles await."/>
    <n v="880"/>
    <n v="297"/>
    <n v="345"/>
    <n v="12320"/>
    <n v="11978"/>
    <n v="238"/>
    <x v="1"/>
    <s v="EndOfSeasonSale"/>
    <n v="1.2353896103896105E-3"/>
  </r>
  <r>
    <s v="P212"/>
    <x v="2"/>
    <s v="2025-03-03"/>
    <x v="2"/>
    <s v="Explore the latest video on Myntra! Trendy styles await."/>
    <n v="3874"/>
    <n v="884"/>
    <n v="19"/>
    <n v="38740"/>
    <n v="38552"/>
    <n v="219"/>
    <x v="0"/>
    <s v="StyleRevolution"/>
    <n v="1.2330924109447599E-3"/>
  </r>
  <r>
    <s v="P110"/>
    <x v="0"/>
    <s v="2024-07-29"/>
    <x v="1"/>
    <s v="Explore the latest reel on Myntra! Trendy styles await."/>
    <n v="3523"/>
    <n v="753"/>
    <n v="482"/>
    <n v="38753"/>
    <n v="38579"/>
    <n v="270"/>
    <x v="3"/>
    <s v="EndOfSeasonSale"/>
    <n v="1.2277759141227777E-3"/>
  </r>
  <r>
    <s v="P245"/>
    <x v="3"/>
    <s v="2025-01-12"/>
    <x v="1"/>
    <s v="Explore the latest reel on Myntra! Trendy styles await."/>
    <n v="4134"/>
    <n v="824"/>
    <n v="99"/>
    <n v="41340"/>
    <n v="41050"/>
    <n v="177"/>
    <x v="2"/>
    <s v="EndOfSeasonSale"/>
    <n v="1.2232704402515724E-3"/>
  </r>
  <r>
    <s v="P075"/>
    <x v="0"/>
    <s v="2024-08-01"/>
    <x v="1"/>
    <s v="Explore the latest reel on Myntra! Trendy styles await."/>
    <n v="1674"/>
    <n v="929"/>
    <n v="37"/>
    <n v="21762"/>
    <n v="20998"/>
    <n v="255"/>
    <x v="0"/>
    <s v="MyntraFestiveEdit"/>
    <n v="1.2131237937689551E-3"/>
  </r>
  <r>
    <s v="P255"/>
    <x v="3"/>
    <s v="2025-04-03"/>
    <x v="0"/>
    <s v="Explore the latest story on Myntra! Trendy styles await."/>
    <n v="3767"/>
    <n v="514"/>
    <n v="238"/>
    <n v="37670"/>
    <n v="36807"/>
    <n v="226"/>
    <x v="0"/>
    <s v="FashionUpgrade"/>
    <n v="1.199628351473321E-3"/>
  </r>
  <r>
    <s v="P071"/>
    <x v="2"/>
    <s v="2024-09-02"/>
    <x v="3"/>
    <s v="Explore the latest carousel on Myntra! Trendy styles await."/>
    <n v="2551"/>
    <n v="915"/>
    <n v="205"/>
    <n v="30612"/>
    <n v="30360"/>
    <n v="227"/>
    <x v="1"/>
    <s v="EndOfSeasonSale"/>
    <n v="1.1992029269567491E-3"/>
  </r>
  <r>
    <s v="P065"/>
    <x v="0"/>
    <s v="2025-03-28"/>
    <x v="0"/>
    <s v="Explore the latest story on Myntra! Trendy styles await."/>
    <n v="1881"/>
    <n v="501"/>
    <n v="99"/>
    <n v="20691"/>
    <n v="19987"/>
    <n v="289"/>
    <x v="3"/>
    <s v="EndOfSeasonSale"/>
    <n v="1.1990720603160794E-3"/>
  </r>
  <r>
    <s v="P247"/>
    <x v="3"/>
    <s v="2024-08-27"/>
    <x v="1"/>
    <s v="Explore the latest reel on Myntra! Trendy styles await."/>
    <n v="3960"/>
    <n v="266"/>
    <n v="8"/>
    <n v="35640"/>
    <n v="34850"/>
    <n v="208"/>
    <x v="4"/>
    <s v="StyleRevolution"/>
    <n v="1.1879910213243546E-3"/>
  </r>
  <r>
    <s v="P035"/>
    <x v="0"/>
    <s v="2024-11-30"/>
    <x v="2"/>
    <s v="Explore the latest video on Myntra! Trendy styles await."/>
    <n v="3775"/>
    <n v="16"/>
    <n v="239"/>
    <n v="33975"/>
    <n v="33310"/>
    <n v="271"/>
    <x v="0"/>
    <s v="MyntraFestiveEdit"/>
    <n v="1.1861662987490802E-3"/>
  </r>
  <r>
    <s v="P117"/>
    <x v="1"/>
    <s v="2024-11-04"/>
    <x v="4"/>
    <s v="Explore the latest image on Myntra! Trendy styles await."/>
    <n v="1606"/>
    <n v="451"/>
    <n v="405"/>
    <n v="20878"/>
    <n v="20190"/>
    <n v="219"/>
    <x v="1"/>
    <s v="EndOfSeasonSale"/>
    <n v="1.1792317271769326E-3"/>
  </r>
  <r>
    <s v="P251"/>
    <x v="0"/>
    <s v="2025-03-27"/>
    <x v="3"/>
    <s v="Explore the latest carousel on Myntra! Trendy styles await."/>
    <n v="1377"/>
    <n v="796"/>
    <n v="387"/>
    <n v="22032"/>
    <n v="21869"/>
    <n v="189"/>
    <x v="3"/>
    <s v="MyntraFestiveEdit"/>
    <n v="1.1619462599854757E-3"/>
  </r>
  <r>
    <s v="P011"/>
    <x v="0"/>
    <s v="2025-02-02"/>
    <x v="0"/>
    <s v="Explore the latest story on Myntra! Trendy styles await."/>
    <n v="1792"/>
    <n v="614"/>
    <n v="497"/>
    <n v="25088"/>
    <n v="24675"/>
    <n v="65"/>
    <x v="0"/>
    <s v="FashionUpgrade"/>
    <n v="1.1571269132653061E-3"/>
  </r>
  <r>
    <s v="P161"/>
    <x v="1"/>
    <s v="2025-02-19"/>
    <x v="5"/>
    <s v="Explore the latest text on Myntra! Trendy styles await."/>
    <n v="4671"/>
    <n v="876"/>
    <n v="366"/>
    <n v="51381"/>
    <n v="50565"/>
    <n v="245"/>
    <x v="1"/>
    <s v="EndOfSeasonSale"/>
    <n v="1.1508145034156594E-3"/>
  </r>
  <r>
    <s v="P155"/>
    <x v="2"/>
    <s v="2024-12-21"/>
    <x v="4"/>
    <s v="Explore the latest image on Myntra! Trendy styles await."/>
    <n v="2283"/>
    <n v="210"/>
    <n v="130"/>
    <n v="22830"/>
    <n v="22617"/>
    <n v="143"/>
    <x v="2"/>
    <s v="MyntraFestiveEdit"/>
    <n v="1.1489268506351292E-3"/>
  </r>
  <r>
    <s v="P284"/>
    <x v="1"/>
    <s v="2024-09-17"/>
    <x v="5"/>
    <s v="Explore the latest text on Myntra! Trendy styles await."/>
    <n v="571"/>
    <n v="190"/>
    <n v="352"/>
    <n v="9707"/>
    <n v="9418"/>
    <n v="231"/>
    <x v="3"/>
    <s v="EndOfSeasonSale"/>
    <n v="1.1465952405480581E-3"/>
  </r>
  <r>
    <s v="P113"/>
    <x v="1"/>
    <s v="2024-10-02"/>
    <x v="3"/>
    <s v="Explore the latest carousel on Myntra! Trendy styles await."/>
    <n v="4419"/>
    <n v="236"/>
    <n v="369"/>
    <n v="44190"/>
    <n v="43582"/>
    <n v="10"/>
    <x v="4"/>
    <s v="StyleRevolution"/>
    <n v="1.1369088028965828E-3"/>
  </r>
  <r>
    <s v="P158"/>
    <x v="0"/>
    <s v="2024-08-11"/>
    <x v="0"/>
    <s v="Explore the latest story on Myntra! Trendy styles await."/>
    <n v="1762"/>
    <n v="405"/>
    <n v="423"/>
    <n v="22906"/>
    <n v="21925"/>
    <n v="25"/>
    <x v="3"/>
    <s v="EndOfSeasonSale"/>
    <n v="1.1307081114118572E-3"/>
  </r>
  <r>
    <s v="P098"/>
    <x v="1"/>
    <s v="2024-06-10"/>
    <x v="0"/>
    <s v="Explore the latest story on Myntra! Trendy styles await."/>
    <n v="1575"/>
    <n v="771"/>
    <n v="486"/>
    <n v="25200"/>
    <n v="24826"/>
    <n v="17"/>
    <x v="0"/>
    <s v="MyntraFestiveEdit"/>
    <n v="1.1238095238095239E-3"/>
  </r>
  <r>
    <s v="P227"/>
    <x v="0"/>
    <s v="2024-06-12"/>
    <x v="5"/>
    <s v="Explore the latest text on Myntra! Trendy styles await."/>
    <n v="246"/>
    <n v="149"/>
    <n v="130"/>
    <n v="4674"/>
    <n v="4390"/>
    <n v="217"/>
    <x v="4"/>
    <s v="EndOfSeasonSale"/>
    <n v="1.1232349165596919E-3"/>
  </r>
  <r>
    <s v="P222"/>
    <x v="3"/>
    <s v="2024-10-08"/>
    <x v="1"/>
    <s v="Explore the latest reel on Myntra! Trendy styles await."/>
    <n v="1814"/>
    <n v="653"/>
    <n v="363"/>
    <n v="25396"/>
    <n v="25286"/>
    <n v="39"/>
    <x v="0"/>
    <s v="FashionUpgrade"/>
    <n v="1.1143487163332809E-3"/>
  </r>
  <r>
    <s v="P278"/>
    <x v="1"/>
    <s v="2024-11-26"/>
    <x v="5"/>
    <s v="Explore the latest text on Myntra! Trendy styles await."/>
    <n v="4516"/>
    <n v="836"/>
    <n v="169"/>
    <n v="49676"/>
    <n v="49257"/>
    <n v="282"/>
    <x v="4"/>
    <s v="FashionUpgrade"/>
    <n v="1.1114018842096787E-3"/>
  </r>
  <r>
    <s v="P151"/>
    <x v="0"/>
    <s v="2024-07-26"/>
    <x v="4"/>
    <s v="Explore the latest image on Myntra! Trendy styles await."/>
    <n v="3559"/>
    <n v="59"/>
    <n v="289"/>
    <n v="35590"/>
    <n v="35105"/>
    <n v="122"/>
    <x v="4"/>
    <s v="MyntraFestiveEdit"/>
    <n v="1.0977802753582469E-3"/>
  </r>
  <r>
    <s v="P156"/>
    <x v="3"/>
    <s v="2024-10-22"/>
    <x v="3"/>
    <s v="Explore the latest carousel on Myntra! Trendy styles await."/>
    <n v="3352"/>
    <n v="941"/>
    <n v="482"/>
    <n v="43576"/>
    <n v="43338"/>
    <n v="240"/>
    <x v="4"/>
    <s v="MyntraFestiveEdit"/>
    <n v="1.095786671562328E-3"/>
  </r>
  <r>
    <s v="P157"/>
    <x v="2"/>
    <s v="2024-07-23"/>
    <x v="0"/>
    <s v="Explore the latest story on Myntra! Trendy styles await."/>
    <n v="4775"/>
    <n v="173"/>
    <n v="206"/>
    <n v="47750"/>
    <n v="47544"/>
    <n v="187"/>
    <x v="0"/>
    <s v="StyleRevolution"/>
    <n v="1.0793717277486911E-3"/>
  </r>
  <r>
    <s v="P206"/>
    <x v="1"/>
    <s v="2024-06-24"/>
    <x v="5"/>
    <s v="Explore the latest text on Myntra! Trendy styles await."/>
    <n v="941"/>
    <n v="121"/>
    <n v="458"/>
    <n v="14115"/>
    <n v="13838"/>
    <n v="87"/>
    <x v="2"/>
    <s v="EndOfSeasonSale"/>
    <n v="1.0768685795253278E-3"/>
  </r>
  <r>
    <s v="P282"/>
    <x v="0"/>
    <s v="2024-10-03"/>
    <x v="2"/>
    <s v="Explore the latest video on Myntra! Trendy styles await."/>
    <n v="1488"/>
    <n v="417"/>
    <n v="168"/>
    <n v="19344"/>
    <n v="18395"/>
    <n v="30"/>
    <x v="1"/>
    <s v="FashionUpgrade"/>
    <n v="1.071650124069479E-3"/>
  </r>
  <r>
    <s v="P049"/>
    <x v="1"/>
    <s v="2024-06-10"/>
    <x v="0"/>
    <s v="Explore the latest story on Myntra! Trendy styles await."/>
    <n v="2164"/>
    <n v="549"/>
    <n v="274"/>
    <n v="28132"/>
    <n v="27361"/>
    <n v="177"/>
    <x v="0"/>
    <s v="FashionUpgrade"/>
    <n v="1.0617801791554101E-3"/>
  </r>
  <r>
    <s v="P205"/>
    <x v="1"/>
    <s v="2025-04-24"/>
    <x v="2"/>
    <s v="Explore the latest video on Myntra! Trendy styles await."/>
    <n v="3820"/>
    <n v="697"/>
    <n v="268"/>
    <n v="45840"/>
    <n v="45631"/>
    <n v="171"/>
    <x v="0"/>
    <s v="FashionUpgrade"/>
    <n v="1.043848167539267E-3"/>
  </r>
  <r>
    <s v="P008"/>
    <x v="2"/>
    <s v="2024-07-13"/>
    <x v="4"/>
    <s v="Explore the latest image on Myntra! Trendy styles await."/>
    <n v="3929"/>
    <n v="262"/>
    <n v="278"/>
    <n v="43219"/>
    <n v="42841"/>
    <n v="39"/>
    <x v="2"/>
    <s v="MyntraFestiveEdit"/>
    <n v="1.0340359564080612E-3"/>
  </r>
  <r>
    <s v="P096"/>
    <x v="1"/>
    <s v="2024-09-10"/>
    <x v="4"/>
    <s v="Explore the latest image on Myntra! Trendy styles await."/>
    <n v="1238"/>
    <n v="366"/>
    <n v="444"/>
    <n v="19808"/>
    <n v="19334"/>
    <n v="123"/>
    <x v="3"/>
    <s v="MyntraFestiveEdit"/>
    <n v="1.0339256865912762E-3"/>
  </r>
  <r>
    <s v="P018"/>
    <x v="0"/>
    <s v="2024-08-19"/>
    <x v="1"/>
    <s v="Explore the latest reel on Myntra! Trendy styles await."/>
    <n v="3000"/>
    <n v="382"/>
    <n v="325"/>
    <n v="36000"/>
    <n v="35819"/>
    <n v="19"/>
    <x v="0"/>
    <s v="EndOfSeasonSale"/>
    <n v="1.0297222222222222E-3"/>
  </r>
  <r>
    <s v="P182"/>
    <x v="3"/>
    <s v="2024-07-31"/>
    <x v="4"/>
    <s v="Explore the latest image on Myntra! Trendy styles await."/>
    <n v="4689"/>
    <n v="134"/>
    <n v="403"/>
    <n v="51579"/>
    <n v="50924"/>
    <n v="173"/>
    <x v="3"/>
    <s v="FashionUpgrade"/>
    <n v="1.0132030477519921E-3"/>
  </r>
  <r>
    <s v="P266"/>
    <x v="3"/>
    <s v="2024-11-25"/>
    <x v="0"/>
    <s v="Explore the latest story on Myntra! Trendy styles await."/>
    <n v="4182"/>
    <n v="640"/>
    <n v="240"/>
    <n v="50184"/>
    <n v="49351"/>
    <n v="10"/>
    <x v="1"/>
    <s v="MyntraFestiveEdit"/>
    <n v="1.0086880280567511E-3"/>
  </r>
  <r>
    <s v="P019"/>
    <x v="0"/>
    <s v="2024-06-23"/>
    <x v="2"/>
    <s v="Explore the latest video on Myntra! Trendy styles await."/>
    <n v="1071"/>
    <n v="519"/>
    <n v="22"/>
    <n v="16065"/>
    <n v="15865"/>
    <n v="103"/>
    <x v="1"/>
    <s v="MyntraFestiveEdit"/>
    <n v="1.0034235916588858E-3"/>
  </r>
  <r>
    <s v="P108"/>
    <x v="1"/>
    <s v="2025-03-25"/>
    <x v="2"/>
    <s v="Explore the latest video on Myntra! Trendy styles await."/>
    <n v="4050"/>
    <n v="871"/>
    <n v="347"/>
    <n v="52650"/>
    <n v="51755"/>
    <n v="209"/>
    <x v="0"/>
    <s v="FashionUpgrade"/>
    <n v="1.0005698005698005E-3"/>
  </r>
  <r>
    <s v="P126"/>
    <x v="0"/>
    <s v="2025-03-28"/>
    <x v="3"/>
    <s v="Explore the latest carousel on Myntra! Trendy styles await."/>
    <n v="4158"/>
    <n v="167"/>
    <n v="241"/>
    <n v="45738"/>
    <n v="45183"/>
    <n v="142"/>
    <x v="2"/>
    <s v="EndOfSeasonSale"/>
    <n v="9.9829463465827108E-4"/>
  </r>
  <r>
    <s v="P103"/>
    <x v="3"/>
    <s v="2024-06-11"/>
    <x v="4"/>
    <s v="Explore the latest image on Myntra! Trendy styles await."/>
    <n v="3689"/>
    <n v="48"/>
    <n v="306"/>
    <n v="40579"/>
    <n v="39588"/>
    <n v="212"/>
    <x v="4"/>
    <s v="FashionUpgrade"/>
    <n v="9.963281500283399E-4"/>
  </r>
  <r>
    <s v="P191"/>
    <x v="2"/>
    <s v="2024-12-03"/>
    <x v="0"/>
    <s v="Explore the latest story on Myntra! Trendy styles await."/>
    <n v="4285"/>
    <n v="886"/>
    <n v="376"/>
    <n v="55705"/>
    <n v="55556"/>
    <n v="51"/>
    <x v="2"/>
    <s v="StyleRevolution"/>
    <n v="9.9578134817341355E-4"/>
  </r>
  <r>
    <s v="P193"/>
    <x v="1"/>
    <s v="2024-09-11"/>
    <x v="4"/>
    <s v="Explore the latest image on Myntra! Trendy styles await."/>
    <n v="4858"/>
    <n v="317"/>
    <n v="129"/>
    <n v="53438"/>
    <n v="52687"/>
    <n v="223"/>
    <x v="3"/>
    <s v="FashionUpgrade"/>
    <n v="9.925521164714248E-4"/>
  </r>
  <r>
    <s v="P167"/>
    <x v="0"/>
    <s v="2024-11-28"/>
    <x v="5"/>
    <s v="Explore the latest text on Myntra! Trendy styles await."/>
    <n v="4771"/>
    <n v="818"/>
    <n v="56"/>
    <n v="57252"/>
    <n v="56378"/>
    <n v="150"/>
    <x v="1"/>
    <s v="EndOfSeasonSale"/>
    <n v="9.8599175574652425E-4"/>
  </r>
  <r>
    <s v="P044"/>
    <x v="1"/>
    <s v="2025-03-02"/>
    <x v="4"/>
    <s v="Explore the latest image on Myntra! Trendy styles await."/>
    <n v="2358"/>
    <n v="784"/>
    <n v="344"/>
    <n v="35370"/>
    <n v="34475"/>
    <n v="216"/>
    <x v="1"/>
    <s v="FashionUpgrade"/>
    <n v="9.8558100084817648E-4"/>
  </r>
  <r>
    <s v="P171"/>
    <x v="2"/>
    <s v="2024-12-31"/>
    <x v="2"/>
    <s v="Explore the latest video on Myntra! Trendy styles await."/>
    <n v="1018"/>
    <n v="447"/>
    <n v="332"/>
    <n v="18324"/>
    <n v="18164"/>
    <n v="38"/>
    <x v="1"/>
    <s v="StyleRevolution"/>
    <n v="9.8068107400130981E-4"/>
  </r>
  <r>
    <s v="P273"/>
    <x v="2"/>
    <s v="2024-10-12"/>
    <x v="0"/>
    <s v="Explore the latest story on Myntra! Trendy styles await."/>
    <n v="3641"/>
    <n v="226"/>
    <n v="46"/>
    <n v="40051"/>
    <n v="39319"/>
    <n v="296"/>
    <x v="4"/>
    <s v="EndOfSeasonSale"/>
    <n v="9.7700431949264682E-4"/>
  </r>
  <r>
    <s v="P243"/>
    <x v="1"/>
    <s v="2025-03-06"/>
    <x v="4"/>
    <s v="Explore the latest image on Myntra! Trendy styles await."/>
    <n v="3592"/>
    <n v="911"/>
    <n v="375"/>
    <n v="50288"/>
    <n v="49490"/>
    <n v="32"/>
    <x v="0"/>
    <s v="EndOfSeasonSale"/>
    <n v="9.7001272669424115E-4"/>
  </r>
  <r>
    <s v="P185"/>
    <x v="0"/>
    <s v="2025-01-11"/>
    <x v="3"/>
    <s v="Explore the latest carousel on Myntra! Trendy styles await."/>
    <n v="4523"/>
    <n v="61"/>
    <n v="157"/>
    <n v="49753"/>
    <n v="49329"/>
    <n v="71"/>
    <x v="1"/>
    <s v="StyleRevolution"/>
    <n v="9.5290736237010833E-4"/>
  </r>
  <r>
    <s v="P081"/>
    <x v="0"/>
    <s v="2024-10-19"/>
    <x v="0"/>
    <s v="Explore the latest story on Myntra! Trendy styles await."/>
    <n v="1816"/>
    <n v="29"/>
    <n v="41"/>
    <n v="19976"/>
    <n v="19262"/>
    <n v="283"/>
    <x v="4"/>
    <s v="MyntraFestiveEdit"/>
    <n v="9.4413295955146181E-4"/>
  </r>
  <r>
    <s v="P017"/>
    <x v="3"/>
    <s v="2025-05-05"/>
    <x v="5"/>
    <s v="Explore the latest text on Myntra! Trendy styles await."/>
    <n v="4441"/>
    <n v="511"/>
    <n v="70"/>
    <n v="53292"/>
    <n v="53082"/>
    <n v="159"/>
    <x v="3"/>
    <s v="MyntraFestiveEdit"/>
    <n v="9.4235532537716724E-4"/>
  </r>
  <r>
    <s v="P139"/>
    <x v="2"/>
    <s v="2024-10-29"/>
    <x v="5"/>
    <s v="Explore the latest text on Myntra! Trendy styles await."/>
    <n v="2746"/>
    <n v="156"/>
    <n v="203"/>
    <n v="32952"/>
    <n v="32147"/>
    <n v="147"/>
    <x v="2"/>
    <s v="EndOfSeasonSale"/>
    <n v="9.422796795338674E-4"/>
  </r>
  <r>
    <s v="P069"/>
    <x v="1"/>
    <s v="2025-03-08"/>
    <x v="5"/>
    <s v="Explore the latest text on Myntra! Trendy styles await."/>
    <n v="1292"/>
    <n v="626"/>
    <n v="496"/>
    <n v="25840"/>
    <n v="24916"/>
    <n v="149"/>
    <x v="0"/>
    <s v="StyleRevolution"/>
    <n v="9.3421052631578944E-4"/>
  </r>
  <r>
    <s v="P059"/>
    <x v="0"/>
    <s v="2024-06-22"/>
    <x v="5"/>
    <s v="Explore the latest text on Myntra! Trendy styles await."/>
    <n v="2180"/>
    <n v="263"/>
    <n v="387"/>
    <n v="30520"/>
    <n v="30059"/>
    <n v="174"/>
    <x v="3"/>
    <s v="FashionUpgrade"/>
    <n v="9.272608125819135E-4"/>
  </r>
  <r>
    <s v="P100"/>
    <x v="2"/>
    <s v="2025-02-10"/>
    <x v="2"/>
    <s v="Explore the latest video on Myntra! Trendy styles await."/>
    <n v="1766"/>
    <n v="92"/>
    <n v="424"/>
    <n v="24724"/>
    <n v="24333"/>
    <n v="52"/>
    <x v="0"/>
    <s v="FashionUpgrade"/>
    <n v="9.2298980747451871E-4"/>
  </r>
  <r>
    <s v="P055"/>
    <x v="3"/>
    <s v="2024-06-17"/>
    <x v="4"/>
    <s v="Explore the latest image on Myntra! Trendy styles await."/>
    <n v="1226"/>
    <n v="119"/>
    <n v="7"/>
    <n v="14712"/>
    <n v="14049"/>
    <n v="123"/>
    <x v="1"/>
    <s v="StyleRevolution"/>
    <n v="9.1897770527460583E-4"/>
  </r>
  <r>
    <s v="P177"/>
    <x v="0"/>
    <s v="2024-07-10"/>
    <x v="3"/>
    <s v="Explore the latest carousel on Myntra! Trendy styles await."/>
    <n v="3099"/>
    <n v="694"/>
    <n v="171"/>
    <n v="43386"/>
    <n v="42921"/>
    <n v="52"/>
    <x v="3"/>
    <s v="StyleRevolution"/>
    <n v="9.1365878393951966E-4"/>
  </r>
  <r>
    <s v="P160"/>
    <x v="1"/>
    <s v="2024-08-24"/>
    <x v="2"/>
    <s v="Explore the latest video on Myntra! Trendy styles await."/>
    <n v="1082"/>
    <n v="209"/>
    <n v="484"/>
    <n v="19476"/>
    <n v="18654"/>
    <n v="20"/>
    <x v="0"/>
    <s v="StyleRevolution"/>
    <n v="9.113781063873486E-4"/>
  </r>
  <r>
    <s v="P001"/>
    <x v="1"/>
    <s v="2024-12-23"/>
    <x v="1"/>
    <s v="Explore the latest reel on Myntra! Trendy styles await."/>
    <n v="1461"/>
    <n v="184"/>
    <n v="344"/>
    <n v="21915"/>
    <n v="21675"/>
    <n v="15"/>
    <x v="1"/>
    <s v="FashionUpgrade"/>
    <n v="9.0759753593429152E-4"/>
  </r>
  <r>
    <s v="P201"/>
    <x v="1"/>
    <s v="2025-01-15"/>
    <x v="1"/>
    <s v="Explore the latest reel on Myntra! Trendy styles await."/>
    <n v="802"/>
    <n v="262"/>
    <n v="244"/>
    <n v="14436"/>
    <n v="14280"/>
    <n v="49"/>
    <x v="1"/>
    <s v="StyleRevolution"/>
    <n v="9.0606816292601827E-4"/>
  </r>
  <r>
    <s v="P180"/>
    <x v="2"/>
    <s v="2024-12-03"/>
    <x v="5"/>
    <s v="Explore the latest text on Myntra! Trendy styles await."/>
    <n v="3711"/>
    <n v="352"/>
    <n v="290"/>
    <n v="48243"/>
    <n v="47579"/>
    <n v="11"/>
    <x v="0"/>
    <s v="StyleRevolution"/>
    <n v="9.0230707045581737E-4"/>
  </r>
  <r>
    <s v="P026"/>
    <x v="2"/>
    <s v="2025-04-05"/>
    <x v="1"/>
    <s v="Explore the latest reel on Myntra! Trendy styles await."/>
    <n v="3009"/>
    <n v="413"/>
    <n v="358"/>
    <n v="42126"/>
    <n v="41309"/>
    <n v="211"/>
    <x v="1"/>
    <s v="EndOfSeasonSale"/>
    <n v="8.9730807577268206E-4"/>
  </r>
  <r>
    <s v="P130"/>
    <x v="2"/>
    <s v="2024-09-29"/>
    <x v="1"/>
    <s v="Explore the latest reel on Myntra! Trendy styles await."/>
    <n v="2936"/>
    <n v="439"/>
    <n v="44"/>
    <n v="38168"/>
    <n v="37571"/>
    <n v="22"/>
    <x v="1"/>
    <s v="MyntraFestiveEdit"/>
    <n v="8.9577656675749319E-4"/>
  </r>
  <r>
    <s v="P079"/>
    <x v="0"/>
    <s v="2024-10-09"/>
    <x v="3"/>
    <s v="Explore the latest carousel on Myntra! Trendy styles await."/>
    <n v="3068"/>
    <n v="137"/>
    <n v="329"/>
    <n v="39884"/>
    <n v="39404"/>
    <n v="266"/>
    <x v="1"/>
    <s v="MyntraFestiveEdit"/>
    <n v="8.8606960184535151E-4"/>
  </r>
  <r>
    <s v="P072"/>
    <x v="2"/>
    <s v="2025-03-03"/>
    <x v="1"/>
    <s v="Explore the latest reel on Myntra! Trendy styles await."/>
    <n v="296"/>
    <n v="60"/>
    <n v="141"/>
    <n v="5624"/>
    <n v="5239"/>
    <n v="88"/>
    <x v="4"/>
    <s v="StyleRevolution"/>
    <n v="8.8371266002844947E-4"/>
  </r>
  <r>
    <s v="P009"/>
    <x v="3"/>
    <s v="2024-08-30"/>
    <x v="5"/>
    <s v="Explore the latest text on Myntra! Trendy styles await."/>
    <n v="3784"/>
    <n v="808"/>
    <n v="404"/>
    <n v="56760"/>
    <n v="56343"/>
    <n v="131"/>
    <x v="2"/>
    <s v="MyntraFestiveEdit"/>
    <n v="8.8019732205778722E-4"/>
  </r>
  <r>
    <s v="P260"/>
    <x v="0"/>
    <s v="2025-02-12"/>
    <x v="0"/>
    <s v="Explore the latest story on Myntra! Trendy styles await."/>
    <n v="4332"/>
    <n v="771"/>
    <n v="219"/>
    <n v="60648"/>
    <n v="60397"/>
    <n v="10"/>
    <x v="2"/>
    <s v="MyntraFestiveEdit"/>
    <n v="8.7752275425405618E-4"/>
  </r>
  <r>
    <s v="P249"/>
    <x v="1"/>
    <s v="2024-07-18"/>
    <x v="4"/>
    <s v="Explore the latest image on Myntra! Trendy styles await."/>
    <n v="827"/>
    <n v="77"/>
    <n v="402"/>
    <n v="14886"/>
    <n v="14129"/>
    <n v="254"/>
    <x v="0"/>
    <s v="EndOfSeasonSale"/>
    <n v="8.7733440816874914E-4"/>
  </r>
  <r>
    <s v="P097"/>
    <x v="0"/>
    <s v="2024-08-13"/>
    <x v="4"/>
    <s v="Explore the latest image on Myntra! Trendy styles await."/>
    <n v="4739"/>
    <n v="527"/>
    <n v="135"/>
    <n v="61607"/>
    <n v="61333"/>
    <n v="36"/>
    <x v="0"/>
    <s v="EndOfSeasonSale"/>
    <n v="8.7668609086629767E-4"/>
  </r>
  <r>
    <s v="P253"/>
    <x v="1"/>
    <s v="2024-08-03"/>
    <x v="1"/>
    <s v="Explore the latest reel on Myntra! Trendy styles await."/>
    <n v="3791"/>
    <n v="593"/>
    <n v="228"/>
    <n v="53074"/>
    <n v="52613"/>
    <n v="205"/>
    <x v="0"/>
    <s v="FashionUpgrade"/>
    <n v="8.6897539284772204E-4"/>
  </r>
  <r>
    <s v="P084"/>
    <x v="3"/>
    <s v="2024-12-09"/>
    <x v="4"/>
    <s v="Explore the latest image on Myntra! Trendy styles await."/>
    <n v="1841"/>
    <n v="851"/>
    <n v="342"/>
    <n v="34979"/>
    <n v="34154"/>
    <n v="255"/>
    <x v="2"/>
    <s v="FashionUpgrade"/>
    <n v="8.6737756939878215E-4"/>
  </r>
  <r>
    <s v="P162"/>
    <x v="3"/>
    <s v="2025-04-01"/>
    <x v="0"/>
    <s v="Explore the latest story on Myntra! Trendy styles await."/>
    <n v="3430"/>
    <n v="566"/>
    <n v="164"/>
    <n v="48020"/>
    <n v="47305"/>
    <n v="120"/>
    <x v="4"/>
    <s v="EndOfSeasonSale"/>
    <n v="8.6630570595585166E-4"/>
  </r>
  <r>
    <s v="P208"/>
    <x v="2"/>
    <s v="2024-06-24"/>
    <x v="2"/>
    <s v="Explore the latest video on Myntra! Trendy styles await."/>
    <n v="2949"/>
    <n v="476"/>
    <n v="403"/>
    <n v="44235"/>
    <n v="43705"/>
    <n v="135"/>
    <x v="4"/>
    <s v="FashionUpgrade"/>
    <n v="8.6537809426924376E-4"/>
  </r>
  <r>
    <s v="P240"/>
    <x v="1"/>
    <s v="2024-08-26"/>
    <x v="3"/>
    <s v="Explore the latest carousel on Myntra! Trendy styles await."/>
    <n v="929"/>
    <n v="192"/>
    <n v="322"/>
    <n v="16722"/>
    <n v="15996"/>
    <n v="145"/>
    <x v="2"/>
    <s v="MyntraFestiveEdit"/>
    <n v="8.6293505561535694E-4"/>
  </r>
  <r>
    <s v="P231"/>
    <x v="0"/>
    <s v="2025-05-01"/>
    <x v="5"/>
    <s v="Explore the latest text on Myntra! Trendy styles await."/>
    <n v="1430"/>
    <n v="376"/>
    <n v="33"/>
    <n v="21450"/>
    <n v="20509"/>
    <n v="251"/>
    <x v="3"/>
    <s v="MyntraFestiveEdit"/>
    <n v="8.5734265734265739E-4"/>
  </r>
  <r>
    <s v="P106"/>
    <x v="0"/>
    <s v="2025-02-04"/>
    <x v="4"/>
    <s v="Explore the latest image on Myntra! Trendy styles await."/>
    <n v="4619"/>
    <n v="821"/>
    <n v="499"/>
    <n v="69285"/>
    <n v="69141"/>
    <n v="298"/>
    <x v="2"/>
    <s v="FashionUpgrade"/>
    <n v="8.5718409468138847E-4"/>
  </r>
  <r>
    <s v="P082"/>
    <x v="0"/>
    <s v="2024-07-24"/>
    <x v="4"/>
    <s v="Explore the latest image on Myntra! Trendy styles await."/>
    <n v="725"/>
    <n v="88"/>
    <n v="428"/>
    <n v="14500"/>
    <n v="13637"/>
    <n v="200"/>
    <x v="4"/>
    <s v="MyntraFestiveEdit"/>
    <n v="8.558620689655172E-4"/>
  </r>
  <r>
    <s v="P199"/>
    <x v="2"/>
    <s v="2024-11-30"/>
    <x v="3"/>
    <s v="Explore the latest carousel on Myntra! Trendy styles await."/>
    <n v="2509"/>
    <n v="324"/>
    <n v="171"/>
    <n v="35126"/>
    <n v="34685"/>
    <n v="277"/>
    <x v="3"/>
    <s v="EndOfSeasonSale"/>
    <n v="8.552069691966065E-4"/>
  </r>
  <r>
    <s v="P188"/>
    <x v="2"/>
    <s v="2024-06-06"/>
    <x v="1"/>
    <s v="Explore the latest reel on Myntra! Trendy styles await."/>
    <n v="2728"/>
    <n v="533"/>
    <n v="215"/>
    <n v="40920"/>
    <n v="40816"/>
    <n v="137"/>
    <x v="1"/>
    <s v="EndOfSeasonSale"/>
    <n v="8.4946236559139781E-4"/>
  </r>
  <r>
    <s v="P186"/>
    <x v="3"/>
    <s v="2024-08-24"/>
    <x v="3"/>
    <s v="Explore the latest carousel on Myntra! Trendy styles await."/>
    <n v="4292"/>
    <n v="51"/>
    <n v="392"/>
    <n v="55796"/>
    <n v="54826"/>
    <n v="264"/>
    <x v="4"/>
    <s v="FashionUpgrade"/>
    <n v="8.4862714173059006E-4"/>
  </r>
  <r>
    <s v="P194"/>
    <x v="2"/>
    <s v="2024-10-02"/>
    <x v="0"/>
    <s v="Explore the latest story on Myntra! Trendy styles await."/>
    <n v="4350"/>
    <n v="771"/>
    <n v="7"/>
    <n v="60900"/>
    <n v="60592"/>
    <n v="195"/>
    <x v="3"/>
    <s v="EndOfSeasonSale"/>
    <n v="8.420361247947455E-4"/>
  </r>
  <r>
    <s v="P268"/>
    <x v="0"/>
    <s v="2025-04-13"/>
    <x v="1"/>
    <s v="Explore the latest reel on Myntra! Trendy styles await."/>
    <n v="4579"/>
    <n v="125"/>
    <n v="300"/>
    <n v="59527"/>
    <n v="59400"/>
    <n v="269"/>
    <x v="0"/>
    <s v="FashionUpgrade"/>
    <n v="8.4062694239588759E-4"/>
  </r>
  <r>
    <s v="P290"/>
    <x v="0"/>
    <s v="2024-12-20"/>
    <x v="3"/>
    <s v="Explore the latest carousel on Myntra! Trendy styles await."/>
    <n v="2107"/>
    <n v="550"/>
    <n v="349"/>
    <n v="35819"/>
    <n v="35340"/>
    <n v="191"/>
    <x v="4"/>
    <s v="MyntraFestiveEdit"/>
    <n v="8.3921940869371005E-4"/>
  </r>
  <r>
    <s v="P187"/>
    <x v="1"/>
    <s v="2024-12-22"/>
    <x v="1"/>
    <s v="Explore the latest reel on Myntra! Trendy styles await."/>
    <n v="1644"/>
    <n v="546"/>
    <n v="150"/>
    <n v="27948"/>
    <n v="27184"/>
    <n v="300"/>
    <x v="1"/>
    <s v="FashionUpgrade"/>
    <n v="8.3726921425504499E-4"/>
  </r>
  <r>
    <s v="P300"/>
    <x v="1"/>
    <s v="2024-08-31"/>
    <x v="3"/>
    <s v="Explore the latest carousel on Myntra! Trendy styles await."/>
    <n v="4494"/>
    <n v="717"/>
    <n v="45"/>
    <n v="62916"/>
    <n v="62688"/>
    <n v="191"/>
    <x v="2"/>
    <s v="FashionUpgrade"/>
    <n v="8.3539958039290487E-4"/>
  </r>
  <r>
    <s v="P280"/>
    <x v="2"/>
    <s v="2024-10-21"/>
    <x v="2"/>
    <s v="Explore the latest video on Myntra! Trendy styles await."/>
    <n v="4275"/>
    <n v="680"/>
    <n v="385"/>
    <n v="64125"/>
    <n v="63650"/>
    <n v="104"/>
    <x v="0"/>
    <s v="StyleRevolution"/>
    <n v="8.3274853801169587E-4"/>
  </r>
  <r>
    <s v="P261"/>
    <x v="0"/>
    <s v="2024-10-27"/>
    <x v="4"/>
    <s v="Explore the latest image on Myntra! Trendy styles await."/>
    <n v="4853"/>
    <n v="837"/>
    <n v="340"/>
    <n v="72795"/>
    <n v="72237"/>
    <n v="170"/>
    <x v="1"/>
    <s v="EndOfSeasonSale"/>
    <n v="8.2835359571399136E-4"/>
  </r>
  <r>
    <s v="P209"/>
    <x v="1"/>
    <s v="2025-03-19"/>
    <x v="2"/>
    <s v="Explore the latest video on Myntra! Trendy styles await."/>
    <n v="3160"/>
    <n v="204"/>
    <n v="297"/>
    <n v="44240"/>
    <n v="43666"/>
    <n v="49"/>
    <x v="0"/>
    <s v="FashionUpgrade"/>
    <n v="8.2753164556962017E-4"/>
  </r>
  <r>
    <s v="P213"/>
    <x v="3"/>
    <s v="2025-05-01"/>
    <x v="3"/>
    <s v="Explore the latest carousel on Myntra! Trendy styles await."/>
    <n v="2696"/>
    <n v="628"/>
    <n v="443"/>
    <n v="45832"/>
    <n v="45632"/>
    <n v="248"/>
    <x v="1"/>
    <s v="MyntraFestiveEdit"/>
    <n v="8.2191481934019896E-4"/>
  </r>
  <r>
    <s v="P202"/>
    <x v="3"/>
    <s v="2024-06-02"/>
    <x v="4"/>
    <s v="Explore the latest image on Myntra! Trendy styles await."/>
    <n v="1871"/>
    <n v="252"/>
    <n v="335"/>
    <n v="29936"/>
    <n v="29576"/>
    <n v="288"/>
    <x v="4"/>
    <s v="EndOfSeasonSale"/>
    <n v="8.2108498129342599E-4"/>
  </r>
  <r>
    <s v="P078"/>
    <x v="1"/>
    <s v="2024-06-17"/>
    <x v="4"/>
    <s v="Explore the latest image on Myntra! Trendy styles await."/>
    <n v="954"/>
    <n v="324"/>
    <n v="288"/>
    <n v="19080"/>
    <n v="18859"/>
    <n v="21"/>
    <x v="4"/>
    <s v="MyntraFestiveEdit"/>
    <n v="8.2075471698113205E-4"/>
  </r>
  <r>
    <s v="P064"/>
    <x v="3"/>
    <s v="2024-08-17"/>
    <x v="4"/>
    <s v="Explore the latest image on Myntra! Trendy styles await."/>
    <n v="2878"/>
    <n v="248"/>
    <n v="416"/>
    <n v="43170"/>
    <n v="42667"/>
    <n v="75"/>
    <x v="3"/>
    <s v="EndOfSeasonSale"/>
    <n v="8.2047718322909424E-4"/>
  </r>
  <r>
    <s v="P228"/>
    <x v="0"/>
    <s v="2024-07-01"/>
    <x v="0"/>
    <s v="Explore the latest story on Myntra! Trendy styles await."/>
    <n v="4808"/>
    <n v="772"/>
    <n v="320"/>
    <n v="72120"/>
    <n v="71696"/>
    <n v="195"/>
    <x v="4"/>
    <s v="StyleRevolution"/>
    <n v="8.1808097615085969E-4"/>
  </r>
  <r>
    <s v="P076"/>
    <x v="1"/>
    <s v="2024-11-07"/>
    <x v="0"/>
    <s v="Explore the latest story on Myntra! Trendy styles await."/>
    <n v="1121"/>
    <n v="135"/>
    <n v="18"/>
    <n v="15694"/>
    <n v="14957"/>
    <n v="99"/>
    <x v="1"/>
    <s v="StyleRevolution"/>
    <n v="8.1177520071364843E-4"/>
  </r>
  <r>
    <s v="P057"/>
    <x v="1"/>
    <s v="2024-10-21"/>
    <x v="2"/>
    <s v="Explore the latest video on Myntra! Trendy styles await."/>
    <n v="2825"/>
    <n v="535"/>
    <n v="295"/>
    <n v="45200"/>
    <n v="44739"/>
    <n v="169"/>
    <x v="0"/>
    <s v="EndOfSeasonSale"/>
    <n v="8.0862831858407073E-4"/>
  </r>
  <r>
    <s v="P122"/>
    <x v="0"/>
    <s v="2024-10-02"/>
    <x v="5"/>
    <s v="Explore the latest text on Myntra! Trendy styles await."/>
    <n v="3432"/>
    <n v="869"/>
    <n v="123"/>
    <n v="54912"/>
    <n v="53916"/>
    <n v="264"/>
    <x v="2"/>
    <s v="EndOfSeasonSale"/>
    <n v="8.0565268065268061E-4"/>
  </r>
  <r>
    <s v="P022"/>
    <x v="3"/>
    <s v="2025-02-27"/>
    <x v="5"/>
    <s v="Explore the latest text on Myntra! Trendy styles await."/>
    <n v="1570"/>
    <n v="187"/>
    <n v="260"/>
    <n v="25120"/>
    <n v="24613"/>
    <n v="133"/>
    <x v="1"/>
    <s v="StyleRevolution"/>
    <n v="8.0294585987261149E-4"/>
  </r>
  <r>
    <s v="P118"/>
    <x v="3"/>
    <s v="2024-11-04"/>
    <x v="4"/>
    <s v="Explore the latest image on Myntra! Trendy styles await."/>
    <n v="4551"/>
    <n v="714"/>
    <n v="207"/>
    <n v="68265"/>
    <n v="67754"/>
    <n v="57"/>
    <x v="4"/>
    <s v="EndOfSeasonSale"/>
    <n v="8.015820698747528E-4"/>
  </r>
  <r>
    <s v="P257"/>
    <x v="3"/>
    <s v="2025-04-06"/>
    <x v="4"/>
    <s v="Explore the latest image on Myntra! Trendy styles await."/>
    <n v="3090"/>
    <n v="697"/>
    <n v="164"/>
    <n v="49440"/>
    <n v="48524"/>
    <n v="25"/>
    <x v="3"/>
    <s v="StyleRevolution"/>
    <n v="7.9915048543689315E-4"/>
  </r>
  <r>
    <s v="P091"/>
    <x v="3"/>
    <s v="2025-03-24"/>
    <x v="4"/>
    <s v="Explore the latest image on Myntra! Trendy styles await."/>
    <n v="1263"/>
    <n v="397"/>
    <n v="357"/>
    <n v="25260"/>
    <n v="24615"/>
    <n v="137"/>
    <x v="1"/>
    <s v="EndOfSeasonSale"/>
    <n v="7.9849564528899452E-4"/>
  </r>
  <r>
    <s v="P274"/>
    <x v="1"/>
    <s v="2025-01-01"/>
    <x v="3"/>
    <s v="Explore the latest carousel on Myntra! Trendy styles await."/>
    <n v="3535"/>
    <n v="494"/>
    <n v="152"/>
    <n v="53025"/>
    <n v="52791"/>
    <n v="44"/>
    <x v="4"/>
    <s v="EndOfSeasonSale"/>
    <n v="7.8849599245638851E-4"/>
  </r>
  <r>
    <s v="P051"/>
    <x v="3"/>
    <s v="2024-06-13"/>
    <x v="3"/>
    <s v="Explore the latest carousel on Myntra! Trendy styles await."/>
    <n v="2200"/>
    <n v="504"/>
    <n v="239"/>
    <n v="37400"/>
    <n v="36938"/>
    <n v="225"/>
    <x v="1"/>
    <s v="MyntraFestiveEdit"/>
    <n v="7.8689839572192513E-4"/>
  </r>
  <r>
    <s v="P080"/>
    <x v="0"/>
    <s v="2024-06-13"/>
    <x v="0"/>
    <s v="Explore the latest story on Myntra! Trendy styles await."/>
    <n v="2103"/>
    <n v="892"/>
    <n v="103"/>
    <n v="39957"/>
    <n v="39466"/>
    <n v="28"/>
    <x v="3"/>
    <s v="EndOfSeasonSale"/>
    <n v="7.7533348349475683E-4"/>
  </r>
  <r>
    <s v="P230"/>
    <x v="3"/>
    <s v="2024-07-15"/>
    <x v="1"/>
    <s v="Explore the latest reel on Myntra! Trendy styles await."/>
    <n v="3663"/>
    <n v="17"/>
    <n v="295"/>
    <n v="51282"/>
    <n v="50567"/>
    <n v="84"/>
    <x v="1"/>
    <s v="FashionUpgrade"/>
    <n v="7.7512577512577508E-4"/>
  </r>
  <r>
    <s v="P149"/>
    <x v="1"/>
    <s v="2024-06-16"/>
    <x v="2"/>
    <s v="Explore the latest video on Myntra! Trendy styles await."/>
    <n v="1702"/>
    <n v="750"/>
    <n v="179"/>
    <n v="34040"/>
    <n v="33174"/>
    <n v="76"/>
    <x v="4"/>
    <s v="MyntraFestiveEdit"/>
    <n v="7.7291421856639239E-4"/>
  </r>
  <r>
    <s v="P021"/>
    <x v="0"/>
    <s v="2025-01-04"/>
    <x v="1"/>
    <s v="Explore the latest reel on Myntra! Trendy styles await."/>
    <n v="4838"/>
    <n v="640"/>
    <n v="128"/>
    <n v="72570"/>
    <n v="72396"/>
    <n v="83"/>
    <x v="0"/>
    <s v="MyntraFestiveEdit"/>
    <n v="7.7249552156538517E-4"/>
  </r>
  <r>
    <s v="P023"/>
    <x v="3"/>
    <s v="2024-11-06"/>
    <x v="2"/>
    <s v="Explore the latest video on Myntra! Trendy styles await."/>
    <n v="1606"/>
    <n v="547"/>
    <n v="316"/>
    <n v="32120"/>
    <n v="31736"/>
    <n v="225"/>
    <x v="1"/>
    <s v="MyntraFestiveEdit"/>
    <n v="7.6867995018679955E-4"/>
  </r>
  <r>
    <s v="P036"/>
    <x v="0"/>
    <s v="2025-04-19"/>
    <x v="0"/>
    <s v="Explore the latest story on Myntra! Trendy styles await."/>
    <n v="4518"/>
    <n v="285"/>
    <n v="383"/>
    <n v="67770"/>
    <n v="67621"/>
    <n v="31"/>
    <x v="3"/>
    <s v="EndOfSeasonSale"/>
    <n v="7.6523535487678916E-4"/>
  </r>
  <r>
    <s v="P002"/>
    <x v="1"/>
    <s v="2025-04-03"/>
    <x v="5"/>
    <s v="Explore the latest text on Myntra! Trendy styles await."/>
    <n v="4054"/>
    <n v="389"/>
    <n v="493"/>
    <n v="64864"/>
    <n v="64383"/>
    <n v="117"/>
    <x v="2"/>
    <s v="EndOfSeasonSale"/>
    <n v="7.6097681302417371E-4"/>
  </r>
  <r>
    <s v="P234"/>
    <x v="3"/>
    <s v="2024-06-01"/>
    <x v="5"/>
    <s v="Explore the latest text on Myntra! Trendy styles await."/>
    <n v="1272"/>
    <n v="465"/>
    <n v="99"/>
    <n v="24168"/>
    <n v="23719"/>
    <n v="42"/>
    <x v="2"/>
    <s v="EndOfSeasonSale"/>
    <n v="7.59682224428997E-4"/>
  </r>
  <r>
    <s v="P013"/>
    <x v="2"/>
    <s v="2024-11-18"/>
    <x v="3"/>
    <s v="Explore the latest carousel on Myntra! Trendy styles await."/>
    <n v="1171"/>
    <n v="286"/>
    <n v="231"/>
    <n v="22249"/>
    <n v="21282"/>
    <n v="114"/>
    <x v="2"/>
    <s v="StyleRevolution"/>
    <n v="7.5868578363072492E-4"/>
  </r>
  <r>
    <s v="P016"/>
    <x v="3"/>
    <s v="2024-08-26"/>
    <x v="5"/>
    <s v="Explore the latest text on Myntra! Trendy styles await."/>
    <n v="3452"/>
    <n v="377"/>
    <n v="360"/>
    <n v="55232"/>
    <n v="55075"/>
    <n v="87"/>
    <x v="1"/>
    <s v="MyntraFestiveEdit"/>
    <n v="7.5843713789107761E-4"/>
  </r>
  <r>
    <s v="P179"/>
    <x v="3"/>
    <s v="2024-07-15"/>
    <x v="3"/>
    <s v="Explore the latest carousel on Myntra! Trendy styles await."/>
    <n v="3796"/>
    <n v="667"/>
    <n v="395"/>
    <n v="64532"/>
    <n v="63550"/>
    <n v="292"/>
    <x v="0"/>
    <s v="FashionUpgrade"/>
    <n v="7.5280481001673591E-4"/>
  </r>
  <r>
    <s v="P045"/>
    <x v="3"/>
    <s v="2024-11-01"/>
    <x v="2"/>
    <s v="Explore the latest video on Myntra! Trendy styles await."/>
    <n v="3371"/>
    <n v="106"/>
    <n v="327"/>
    <n v="50565"/>
    <n v="49816"/>
    <n v="176"/>
    <x v="3"/>
    <s v="StyleRevolution"/>
    <n v="7.5229902106199937E-4"/>
  </r>
  <r>
    <s v="P168"/>
    <x v="3"/>
    <s v="2024-11-12"/>
    <x v="5"/>
    <s v="Explore the latest text on Myntra! Trendy styles await."/>
    <n v="2418"/>
    <n v="754"/>
    <n v="54"/>
    <n v="43524"/>
    <n v="42743"/>
    <n v="182"/>
    <x v="2"/>
    <s v="StyleRevolution"/>
    <n v="7.4120025732928962E-4"/>
  </r>
  <r>
    <s v="P111"/>
    <x v="2"/>
    <s v="2024-11-23"/>
    <x v="4"/>
    <s v="Explore the latest image on Myntra! Trendy styles await."/>
    <n v="2719"/>
    <n v="17"/>
    <n v="285"/>
    <n v="40785"/>
    <n v="40281"/>
    <n v="40"/>
    <x v="2"/>
    <s v="MyntraFestiveEdit"/>
    <n v="7.4071349760941531E-4"/>
  </r>
  <r>
    <s v="P101"/>
    <x v="2"/>
    <s v="2024-10-18"/>
    <x v="2"/>
    <s v="Explore the latest video on Myntra! Trendy styles await."/>
    <n v="4450"/>
    <n v="983"/>
    <n v="143"/>
    <n v="75650"/>
    <n v="75008"/>
    <n v="12"/>
    <x v="1"/>
    <s v="EndOfSeasonSale"/>
    <n v="7.3707865168539332E-4"/>
  </r>
  <r>
    <s v="P048"/>
    <x v="1"/>
    <s v="2025-03-11"/>
    <x v="0"/>
    <s v="Explore the latest story on Myntra! Trendy styles await."/>
    <n v="1950"/>
    <n v="295"/>
    <n v="478"/>
    <n v="37050"/>
    <n v="36272"/>
    <n v="119"/>
    <x v="2"/>
    <s v="StyleRevolution"/>
    <n v="7.3495276653171395E-4"/>
  </r>
  <r>
    <s v="P250"/>
    <x v="3"/>
    <s v="2024-06-22"/>
    <x v="1"/>
    <s v="Explore the latest reel on Myntra! Trendy styles await."/>
    <n v="3813"/>
    <n v="935"/>
    <n v="274"/>
    <n v="68634"/>
    <n v="68488"/>
    <n v="251"/>
    <x v="3"/>
    <s v="FashionUpgrade"/>
    <n v="7.3170731707317073E-4"/>
  </r>
  <r>
    <s v="P289"/>
    <x v="3"/>
    <s v="2024-11-28"/>
    <x v="3"/>
    <s v="Explore the latest carousel on Myntra! Trendy styles await."/>
    <n v="2751"/>
    <n v="33"/>
    <n v="430"/>
    <n v="44016"/>
    <n v="43415"/>
    <n v="129"/>
    <x v="4"/>
    <s v="EndOfSeasonSale"/>
    <n v="7.3018902217375503E-4"/>
  </r>
  <r>
    <s v="P233"/>
    <x v="3"/>
    <s v="2025-03-08"/>
    <x v="4"/>
    <s v="Explore the latest image on Myntra! Trendy styles await."/>
    <n v="2382"/>
    <n v="265"/>
    <n v="134"/>
    <n v="38112"/>
    <n v="37437"/>
    <n v="249"/>
    <x v="3"/>
    <s v="EndOfSeasonSale"/>
    <n v="7.2969143576826195E-4"/>
  </r>
  <r>
    <s v="P172"/>
    <x v="3"/>
    <s v="2024-08-14"/>
    <x v="3"/>
    <s v="Explore the latest carousel on Myntra! Trendy styles await."/>
    <n v="3073"/>
    <n v="553"/>
    <n v="174"/>
    <n v="52241"/>
    <n v="51605"/>
    <n v="246"/>
    <x v="2"/>
    <s v="StyleRevolution"/>
    <n v="7.2739802071170164E-4"/>
  </r>
  <r>
    <s v="P238"/>
    <x v="1"/>
    <s v="2024-07-16"/>
    <x v="5"/>
    <s v="Explore the latest text on Myntra! Trendy styles await."/>
    <n v="4725"/>
    <n v="400"/>
    <n v="362"/>
    <n v="75600"/>
    <n v="74927"/>
    <n v="43"/>
    <x v="4"/>
    <s v="FashionUpgrade"/>
    <n v="7.2579365079365082E-4"/>
  </r>
  <r>
    <s v="P189"/>
    <x v="3"/>
    <s v="2025-03-24"/>
    <x v="1"/>
    <s v="Explore the latest reel on Myntra! Trendy styles await."/>
    <n v="3360"/>
    <n v="525"/>
    <n v="500"/>
    <n v="60480"/>
    <n v="59610"/>
    <n v="192"/>
    <x v="1"/>
    <s v="FashionUpgrade"/>
    <n v="7.2503306878306879E-4"/>
  </r>
  <r>
    <s v="P039"/>
    <x v="3"/>
    <s v="2024-11-25"/>
    <x v="4"/>
    <s v="Explore the latest image on Myntra! Trendy styles await."/>
    <n v="3564"/>
    <n v="629"/>
    <n v="177"/>
    <n v="60588"/>
    <n v="59627"/>
    <n v="92"/>
    <x v="3"/>
    <s v="MyntraFestiveEdit"/>
    <n v="7.2126493695121138E-4"/>
  </r>
  <r>
    <s v="P215"/>
    <x v="3"/>
    <s v="2025-05-06"/>
    <x v="4"/>
    <s v="Explore the latest image on Myntra! Trendy styles await."/>
    <n v="4872"/>
    <n v="925"/>
    <n v="176"/>
    <n v="82824"/>
    <n v="82543"/>
    <n v="89"/>
    <x v="1"/>
    <s v="FashionUpgrade"/>
    <n v="7.211677774558099E-4"/>
  </r>
  <r>
    <s v="P024"/>
    <x v="3"/>
    <s v="2025-01-23"/>
    <x v="2"/>
    <s v="Explore the latest video on Myntra! Trendy styles await."/>
    <n v="3961"/>
    <n v="761"/>
    <n v="131"/>
    <n v="67337"/>
    <n v="66615"/>
    <n v="161"/>
    <x v="4"/>
    <s v="EndOfSeasonSale"/>
    <n v="7.2070332803659209E-4"/>
  </r>
  <r>
    <s v="P099"/>
    <x v="2"/>
    <s v="2024-07-02"/>
    <x v="3"/>
    <s v="Explore the latest carousel on Myntra! Trendy styles await."/>
    <n v="4171"/>
    <n v="548"/>
    <n v="86"/>
    <n v="66736"/>
    <n v="66634"/>
    <n v="173"/>
    <x v="0"/>
    <s v="MyntraFestiveEdit"/>
    <n v="7.2000119875329654E-4"/>
  </r>
  <r>
    <s v="P010"/>
    <x v="3"/>
    <s v="2025-03-11"/>
    <x v="4"/>
    <s v="Explore the latest image on Myntra! Trendy styles await."/>
    <n v="4241"/>
    <n v="902"/>
    <n v="47"/>
    <n v="72097"/>
    <n v="71598"/>
    <n v="167"/>
    <x v="4"/>
    <s v="StyleRevolution"/>
    <n v="7.1986351720598643E-4"/>
  </r>
  <r>
    <s v="P291"/>
    <x v="3"/>
    <s v="2024-11-06"/>
    <x v="2"/>
    <s v="Explore the latest video on Myntra! Trendy styles await."/>
    <n v="4663"/>
    <n v="145"/>
    <n v="225"/>
    <n v="69945"/>
    <n v="69596"/>
    <n v="35"/>
    <x v="2"/>
    <s v="EndOfSeasonSale"/>
    <n v="7.1956537279290866E-4"/>
  </r>
  <r>
    <s v="P133"/>
    <x v="3"/>
    <s v="2025-02-06"/>
    <x v="4"/>
    <s v="Explore the latest image on Myntra! Trendy styles await."/>
    <n v="2072"/>
    <n v="532"/>
    <n v="71"/>
    <n v="37296"/>
    <n v="36467"/>
    <n v="25"/>
    <x v="1"/>
    <s v="MyntraFestiveEdit"/>
    <n v="7.1723509223509227E-4"/>
  </r>
  <r>
    <s v="P027"/>
    <x v="2"/>
    <s v="2024-09-17"/>
    <x v="5"/>
    <s v="Explore the latest text on Myntra! Trendy styles await."/>
    <n v="2076"/>
    <n v="195"/>
    <n v="104"/>
    <n v="33216"/>
    <n v="32244"/>
    <n v="51"/>
    <x v="4"/>
    <s v="StyleRevolution"/>
    <n v="7.1501685934489403E-4"/>
  </r>
  <r>
    <s v="P134"/>
    <x v="1"/>
    <s v="2025-04-24"/>
    <x v="1"/>
    <s v="Explore the latest reel on Myntra! Trendy styles await."/>
    <n v="3731"/>
    <n v="115"/>
    <n v="135"/>
    <n v="55965"/>
    <n v="55436"/>
    <n v="103"/>
    <x v="3"/>
    <s v="StyleRevolution"/>
    <n v="7.113374430447601E-4"/>
  </r>
  <r>
    <s v="P090"/>
    <x v="0"/>
    <s v="2024-06-03"/>
    <x v="4"/>
    <s v="Explore the latest image on Myntra! Trendy styles await."/>
    <n v="3861"/>
    <n v="960"/>
    <n v="101"/>
    <n v="69498"/>
    <n v="68817"/>
    <n v="297"/>
    <x v="2"/>
    <s v="EndOfSeasonSale"/>
    <n v="7.0822181933293037E-4"/>
  </r>
  <r>
    <s v="P034"/>
    <x v="3"/>
    <s v="2025-03-26"/>
    <x v="5"/>
    <s v="Explore the latest text on Myntra! Trendy styles await."/>
    <n v="1652"/>
    <n v="89"/>
    <n v="357"/>
    <n v="29736"/>
    <n v="28771"/>
    <n v="215"/>
    <x v="4"/>
    <s v="EndOfSeasonSale"/>
    <n v="7.0554210384718864E-4"/>
  </r>
  <r>
    <s v="P007"/>
    <x v="1"/>
    <s v="2024-06-24"/>
    <x v="3"/>
    <s v="Explore the latest carousel on Myntra! Trendy styles await."/>
    <n v="3860"/>
    <n v="201"/>
    <n v="279"/>
    <n v="61760"/>
    <n v="61660"/>
    <n v="235"/>
    <x v="4"/>
    <s v="MyntraFestiveEdit"/>
    <n v="7.0272020725388603E-4"/>
  </r>
  <r>
    <s v="P142"/>
    <x v="2"/>
    <s v="2025-03-25"/>
    <x v="0"/>
    <s v="Explore the latest story on Myntra! Trendy styles await."/>
    <n v="2070"/>
    <n v="275"/>
    <n v="386"/>
    <n v="39330"/>
    <n v="38627"/>
    <n v="114"/>
    <x v="1"/>
    <s v="StyleRevolution"/>
    <n v="6.9438087973557083E-4"/>
  </r>
  <r>
    <s v="P127"/>
    <x v="3"/>
    <s v="2025-01-27"/>
    <x v="1"/>
    <s v="Explore the latest reel on Myntra! Trendy styles await."/>
    <n v="3452"/>
    <n v="652"/>
    <n v="442"/>
    <n v="65588"/>
    <n v="65049"/>
    <n v="158"/>
    <x v="1"/>
    <s v="FashionUpgrade"/>
    <n v="6.9311459413307313E-4"/>
  </r>
  <r>
    <s v="P170"/>
    <x v="1"/>
    <s v="2025-04-28"/>
    <x v="5"/>
    <s v="Explore the latest text on Myntra! Trendy styles await."/>
    <n v="3577"/>
    <n v="596"/>
    <n v="493"/>
    <n v="67963"/>
    <n v="67839"/>
    <n v="53"/>
    <x v="0"/>
    <s v="StyleRevolution"/>
    <n v="6.8655003457763781E-4"/>
  </r>
  <r>
    <s v="P095"/>
    <x v="0"/>
    <s v="2024-11-08"/>
    <x v="5"/>
    <s v="Explore the latest text on Myntra! Trendy styles await."/>
    <n v="3182"/>
    <n v="559"/>
    <n v="160"/>
    <n v="57276"/>
    <n v="56890"/>
    <n v="163"/>
    <x v="0"/>
    <s v="EndOfSeasonSale"/>
    <n v="6.8108806480899513E-4"/>
  </r>
  <r>
    <s v="P288"/>
    <x v="2"/>
    <s v="2025-04-17"/>
    <x v="3"/>
    <s v="Explore the latest carousel on Myntra! Trendy styles await."/>
    <n v="4780"/>
    <n v="691"/>
    <n v="380"/>
    <n v="86040"/>
    <n v="85743"/>
    <n v="262"/>
    <x v="2"/>
    <s v="MyntraFestiveEdit"/>
    <n v="6.8003254300325435E-4"/>
  </r>
  <r>
    <s v="P237"/>
    <x v="0"/>
    <s v="2024-10-22"/>
    <x v="0"/>
    <s v="Explore the latest story on Myntra! Trendy styles await."/>
    <n v="3770"/>
    <n v="917"/>
    <n v="129"/>
    <n v="71630"/>
    <n v="71322"/>
    <n v="76"/>
    <x v="1"/>
    <s v="StyleRevolution"/>
    <n v="6.7234398994834568E-4"/>
  </r>
  <r>
    <s v="P270"/>
    <x v="2"/>
    <s v="2025-01-15"/>
    <x v="1"/>
    <s v="Explore the latest reel on Myntra! Trendy styles await."/>
    <n v="3774"/>
    <n v="239"/>
    <n v="39"/>
    <n v="60384"/>
    <n v="59490"/>
    <n v="241"/>
    <x v="3"/>
    <s v="MyntraFestiveEdit"/>
    <n v="6.7103868574456811E-4"/>
  </r>
  <r>
    <s v="P005"/>
    <x v="2"/>
    <s v="2024-06-26"/>
    <x v="1"/>
    <s v="Explore the latest reel on Myntra! Trendy styles await."/>
    <n v="3557"/>
    <n v="687"/>
    <n v="424"/>
    <n v="71140"/>
    <n v="70701"/>
    <n v="224"/>
    <x v="0"/>
    <s v="MyntraFestiveEdit"/>
    <n v="6.561709305594603E-4"/>
  </r>
  <r>
    <s v="P086"/>
    <x v="2"/>
    <s v="2025-01-27"/>
    <x v="5"/>
    <s v="Explore the latest text on Myntra! Trendy styles await."/>
    <n v="3428"/>
    <n v="305"/>
    <n v="85"/>
    <n v="58276"/>
    <n v="58052"/>
    <n v="242"/>
    <x v="4"/>
    <s v="MyntraFestiveEdit"/>
    <n v="6.5515821264328371E-4"/>
  </r>
  <r>
    <s v="P144"/>
    <x v="2"/>
    <s v="2024-10-28"/>
    <x v="0"/>
    <s v="Explore the latest story on Myntra! Trendy styles await."/>
    <n v="4929"/>
    <n v="749"/>
    <n v="452"/>
    <n v="93651"/>
    <n v="92810"/>
    <n v="66"/>
    <x v="4"/>
    <s v="FashionUpgrade"/>
    <n v="6.5455787978772244E-4"/>
  </r>
  <r>
    <s v="P197"/>
    <x v="1"/>
    <s v="2024-10-22"/>
    <x v="1"/>
    <s v="Explore the latest reel on Myntra! Trendy styles await."/>
    <n v="4782"/>
    <n v="721"/>
    <n v="82"/>
    <n v="86076"/>
    <n v="85339"/>
    <n v="19"/>
    <x v="3"/>
    <s v="EndOfSeasonSale"/>
    <n v="6.4884520656164322E-4"/>
  </r>
  <r>
    <s v="P135"/>
    <x v="3"/>
    <s v="2024-11-28"/>
    <x v="5"/>
    <s v="Explore the latest text on Myntra! Trendy styles await."/>
    <n v="4213"/>
    <n v="253"/>
    <n v="434"/>
    <n v="75834"/>
    <n v="75437"/>
    <n v="272"/>
    <x v="4"/>
    <s v="MyntraFestiveEdit"/>
    <n v="6.461481657304112E-4"/>
  </r>
  <r>
    <s v="P073"/>
    <x v="3"/>
    <s v="2024-10-18"/>
    <x v="0"/>
    <s v="Explore the latest story on Myntra! Trendy styles await."/>
    <n v="4126"/>
    <n v="426"/>
    <n v="486"/>
    <n v="78394"/>
    <n v="77798"/>
    <n v="88"/>
    <x v="2"/>
    <s v="FashionUpgrade"/>
    <n v="6.4265122330790629E-4"/>
  </r>
  <r>
    <s v="P267"/>
    <x v="1"/>
    <s v="2024-10-04"/>
    <x v="1"/>
    <s v="Explore the latest reel on Myntra! Trendy styles await."/>
    <n v="4187"/>
    <n v="66"/>
    <n v="31"/>
    <n v="66992"/>
    <n v="66614"/>
    <n v="62"/>
    <x v="0"/>
    <s v="StyleRevolution"/>
    <n v="6.3947934081681399E-4"/>
  </r>
  <r>
    <s v="P020"/>
    <x v="0"/>
    <s v="2024-09-09"/>
    <x v="3"/>
    <s v="Explore the latest carousel on Myntra! Trendy styles await."/>
    <n v="4054"/>
    <n v="488"/>
    <n v="373"/>
    <n v="77026"/>
    <n v="76881"/>
    <n v="25"/>
    <x v="2"/>
    <s v="MyntraFestiveEdit"/>
    <n v="6.3809622724794225E-4"/>
  </r>
  <r>
    <s v="P067"/>
    <x v="3"/>
    <s v="2025-03-29"/>
    <x v="3"/>
    <s v="Explore the latest carousel on Myntra! Trendy styles await."/>
    <n v="4712"/>
    <n v="568"/>
    <n v="127"/>
    <n v="84816"/>
    <n v="84691"/>
    <n v="100"/>
    <x v="3"/>
    <s v="FashionUpgrade"/>
    <n v="6.3749764195434818E-4"/>
  </r>
  <r>
    <s v="P150"/>
    <x v="2"/>
    <s v="2024-08-22"/>
    <x v="3"/>
    <s v="Explore the latest carousel on Myntra! Trendy styles await."/>
    <n v="4295"/>
    <n v="853"/>
    <n v="325"/>
    <n v="85900"/>
    <n v="85788"/>
    <n v="290"/>
    <x v="4"/>
    <s v="EndOfSeasonSale"/>
    <n v="6.3713620488940617E-4"/>
  </r>
  <r>
    <s v="P281"/>
    <x v="2"/>
    <s v="2025-03-22"/>
    <x v="4"/>
    <s v="Explore the latest image on Myntra! Trendy styles await."/>
    <n v="3166"/>
    <n v="90"/>
    <n v="341"/>
    <n v="56988"/>
    <n v="56125"/>
    <n v="135"/>
    <x v="2"/>
    <s v="EndOfSeasonSale"/>
    <n v="6.3118551273952416E-4"/>
  </r>
  <r>
    <s v="P217"/>
    <x v="3"/>
    <s v="2024-12-03"/>
    <x v="4"/>
    <s v="Explore the latest image on Myntra! Trendy styles await."/>
    <n v="4606"/>
    <n v="931"/>
    <n v="230"/>
    <n v="92120"/>
    <n v="91440"/>
    <n v="56"/>
    <x v="3"/>
    <s v="MyntraFestiveEdit"/>
    <n v="6.2603126356925744E-4"/>
  </r>
  <r>
    <s v="P200"/>
    <x v="3"/>
    <s v="2025-04-07"/>
    <x v="1"/>
    <s v="Explore the latest reel on Myntra! Trendy styles await."/>
    <n v="3718"/>
    <n v="385"/>
    <n v="310"/>
    <n v="70642"/>
    <n v="69749"/>
    <n v="233"/>
    <x v="4"/>
    <s v="FashionUpgrade"/>
    <n v="6.2469918745222393E-4"/>
  </r>
  <r>
    <s v="P107"/>
    <x v="2"/>
    <s v="2024-06-21"/>
    <x v="4"/>
    <s v="Explore the latest image on Myntra! Trendy styles await."/>
    <n v="4832"/>
    <n v="893"/>
    <n v="10"/>
    <n v="91808"/>
    <n v="91296"/>
    <n v="182"/>
    <x v="1"/>
    <s v="MyntraFestiveEdit"/>
    <n v="6.2467323109097238E-4"/>
  </r>
  <r>
    <s v="P115"/>
    <x v="1"/>
    <s v="2025-05-11"/>
    <x v="4"/>
    <s v="Explore the latest image on Myntra! Trendy styles await."/>
    <n v="2493"/>
    <n v="97"/>
    <n v="44"/>
    <n v="42381"/>
    <n v="41991"/>
    <n v="242"/>
    <x v="1"/>
    <s v="FashionUpgrade"/>
    <n v="6.2150491965739369E-4"/>
  </r>
  <r>
    <s v="P223"/>
    <x v="1"/>
    <s v="2024-11-12"/>
    <x v="4"/>
    <s v="Explore the latest image on Myntra! Trendy styles await."/>
    <n v="3338"/>
    <n v="277"/>
    <n v="118"/>
    <n v="60084"/>
    <n v="59842"/>
    <n v="252"/>
    <x v="0"/>
    <s v="FashionUpgrade"/>
    <n v="6.2129685107516143E-4"/>
  </r>
  <r>
    <s v="P279"/>
    <x v="2"/>
    <s v="2024-09-02"/>
    <x v="4"/>
    <s v="Explore the latest image on Myntra! Trendy styles await."/>
    <n v="4905"/>
    <n v="845"/>
    <n v="129"/>
    <n v="98100"/>
    <n v="97772"/>
    <n v="279"/>
    <x v="4"/>
    <s v="StyleRevolution"/>
    <n v="5.992864424057084E-4"/>
  </r>
  <r>
    <s v="P025"/>
    <x v="1"/>
    <s v="2025-04-10"/>
    <x v="3"/>
    <s v="Explore the latest carousel on Myntra! Trendy styles await."/>
    <n v="3128"/>
    <n v="211"/>
    <n v="197"/>
    <n v="59432"/>
    <n v="59182"/>
    <n v="238"/>
    <x v="0"/>
    <s v="FashionUpgrade"/>
    <n v="5.949656750572083E-4"/>
  </r>
  <r>
    <s v="P015"/>
    <x v="3"/>
    <s v="2024-10-24"/>
    <x v="2"/>
    <s v="Explore the latest video on Myntra! Trendy styles await."/>
    <n v="3888"/>
    <n v="604"/>
    <n v="128"/>
    <n v="77760"/>
    <n v="77167"/>
    <n v="20"/>
    <x v="2"/>
    <s v="FashionUpgrade"/>
    <n v="5.9413580246913582E-4"/>
  </r>
  <r>
    <s v="P296"/>
    <x v="1"/>
    <s v="2025-02-11"/>
    <x v="2"/>
    <s v="Explore the latest video on Myntra! Trendy styles await."/>
    <n v="3440"/>
    <n v="13"/>
    <n v="20"/>
    <n v="58480"/>
    <n v="58146"/>
    <n v="210"/>
    <x v="2"/>
    <s v="FashionUpgrade"/>
    <n v="5.9387824897400823E-4"/>
  </r>
  <r>
    <s v="P298"/>
    <x v="3"/>
    <s v="2024-10-24"/>
    <x v="4"/>
    <s v="Explore the latest image on Myntra! Trendy styles await."/>
    <n v="4303"/>
    <n v="451"/>
    <n v="286"/>
    <n v="86060"/>
    <n v="85823"/>
    <n v="14"/>
    <x v="1"/>
    <s v="EndOfSeasonSale"/>
    <n v="5.8563792702765512E-4"/>
  </r>
  <r>
    <s v="P216"/>
    <x v="2"/>
    <s v="2024-07-29"/>
    <x v="0"/>
    <s v="Explore the latest story on Myntra! Trendy styles await."/>
    <n v="1509"/>
    <n v="88"/>
    <n v="163"/>
    <n v="30180"/>
    <n v="29689"/>
    <n v="119"/>
    <x v="4"/>
    <s v="FashionUpgrade"/>
    <n v="5.8316766070245195E-4"/>
  </r>
  <r>
    <s v="P283"/>
    <x v="1"/>
    <s v="2025-05-09"/>
    <x v="1"/>
    <s v="Explore the latest reel on Myntra! Trendy styles await."/>
    <n v="3367"/>
    <n v="302"/>
    <n v="57"/>
    <n v="63973"/>
    <n v="63789"/>
    <n v="157"/>
    <x v="4"/>
    <s v="MyntraFestiveEdit"/>
    <n v="5.8243321401216133E-4"/>
  </r>
  <r>
    <s v="P256"/>
    <x v="2"/>
    <s v="2024-09-18"/>
    <x v="3"/>
    <s v="Explore the latest carousel on Myntra! Trendy styles await."/>
    <n v="2143"/>
    <n v="12"/>
    <n v="204"/>
    <n v="40717"/>
    <n v="40125"/>
    <n v="248"/>
    <x v="3"/>
    <s v="StyleRevolution"/>
    <n v="5.7936488444630012E-4"/>
  </r>
  <r>
    <s v="P030"/>
    <x v="0"/>
    <s v="2025-02-25"/>
    <x v="2"/>
    <s v="Explore the latest video on Myntra! Trendy styles await."/>
    <n v="3095"/>
    <n v="39"/>
    <n v="78"/>
    <n v="55710"/>
    <n v="54808"/>
    <n v="93"/>
    <x v="1"/>
    <s v="StyleRevolution"/>
    <n v="5.7655717106444083E-4"/>
  </r>
  <r>
    <s v="P203"/>
    <x v="0"/>
    <s v="2024-11-21"/>
    <x v="3"/>
    <s v="Explore the latest carousel on Myntra! Trendy styles await."/>
    <n v="3773"/>
    <n v="299"/>
    <n v="38"/>
    <n v="71687"/>
    <n v="71447"/>
    <n v="286"/>
    <x v="4"/>
    <s v="StyleRevolution"/>
    <n v="5.7332570758993962E-4"/>
  </r>
  <r>
    <s v="P225"/>
    <x v="1"/>
    <s v="2024-06-20"/>
    <x v="3"/>
    <s v="Explore the latest carousel on Myntra! Trendy styles await."/>
    <n v="4672"/>
    <n v="325"/>
    <n v="32"/>
    <n v="88768"/>
    <n v="87833"/>
    <n v="118"/>
    <x v="3"/>
    <s v="MyntraFestiveEdit"/>
    <n v="5.6653298485940878E-4"/>
  </r>
  <r>
    <s v="P145"/>
    <x v="0"/>
    <s v="2024-08-12"/>
    <x v="3"/>
    <s v="Explore the latest carousel on Myntra! Trendy styles await."/>
    <n v="1878"/>
    <n v="62"/>
    <n v="179"/>
    <n v="37560"/>
    <n v="36874"/>
    <n v="142"/>
    <x v="3"/>
    <s v="FashionUpgrade"/>
    <n v="5.6416400425985096E-4"/>
  </r>
  <r>
    <s v="P190"/>
    <x v="2"/>
    <s v="2024-10-04"/>
    <x v="5"/>
    <s v="Explore the latest text on Myntra! Trendy styles await."/>
    <n v="1963"/>
    <n v="213"/>
    <n v="19"/>
    <n v="39260"/>
    <n v="38771"/>
    <n v="145"/>
    <x v="0"/>
    <s v="FashionUpgrade"/>
    <n v="5.5909322465613862E-4"/>
  </r>
  <r>
    <s v="P003"/>
    <x v="2"/>
    <s v="2025-05-12"/>
    <x v="1"/>
    <s v="Explore the latest reel on Myntra! Trendy styles await."/>
    <n v="2795"/>
    <n v="105"/>
    <n v="49"/>
    <n v="53105"/>
    <n v="52307"/>
    <n v="204"/>
    <x v="2"/>
    <s v="FashionUpgrade"/>
    <n v="5.5531494209584784E-4"/>
  </r>
  <r>
    <s v="P176"/>
    <x v="3"/>
    <s v="2024-06-20"/>
    <x v="2"/>
    <s v="Explore the latest video on Myntra! Trendy styles await."/>
    <n v="3798"/>
    <n v="31"/>
    <n v="279"/>
    <n v="75960"/>
    <n v="75813"/>
    <n v="266"/>
    <x v="2"/>
    <s v="EndOfSeasonSale"/>
    <n v="5.4081095313322802E-4"/>
  </r>
  <r>
    <s v="P063"/>
    <x v="1"/>
    <s v="2024-07-31"/>
    <x v="3"/>
    <s v="Explore the latest carousel on Myntra! Trendy styles await."/>
    <n v="4507"/>
    <n v="217"/>
    <n v="13"/>
    <n v="90140"/>
    <n v="89591"/>
    <n v="125"/>
    <x v="1"/>
    <s v="FashionUpgrade"/>
    <n v="5.2551586421122694E-4"/>
  </r>
  <r>
    <s v="P220"/>
    <x v="0"/>
    <s v="2024-06-02"/>
    <x v="0"/>
    <s v="Explore the latest story on Myntra! Trendy styles await."/>
    <n v="84"/>
    <n v="897"/>
    <n v="85"/>
    <n v="588"/>
    <n v="8"/>
    <n v="12"/>
    <x v="5"/>
    <s v="EndOfSeasonSale"/>
    <n v="1.812925170068027E-2"/>
  </r>
  <r>
    <s v="P058"/>
    <x v="0"/>
    <s v="2025-04-15"/>
    <x v="1"/>
    <s v="Explore the latest reel on Myntra! Trendy styles await."/>
    <n v="103"/>
    <n v="770"/>
    <n v="19"/>
    <n v="1030"/>
    <n v="410"/>
    <n v="262"/>
    <x v="5"/>
    <s v="MyntraFestiveEdit"/>
    <n v="8.6601941747572811E-3"/>
  </r>
  <r>
    <s v="P232"/>
    <x v="1"/>
    <s v="2025-04-29"/>
    <x v="0"/>
    <s v="Explore the latest story on Myntra! Trendy styles await."/>
    <n v="249"/>
    <n v="592"/>
    <n v="230"/>
    <n v="1494"/>
    <n v="1044"/>
    <n v="201"/>
    <x v="4"/>
    <s v="StyleRevolution"/>
    <n v="7.1686746987951813E-3"/>
  </r>
  <r>
    <s v="P178"/>
    <x v="0"/>
    <s v="2024-11-07"/>
    <x v="2"/>
    <s v="Explore the latest video on Myntra! Trendy styles await."/>
    <n v="129"/>
    <n v="643"/>
    <n v="136"/>
    <n v="1290"/>
    <n v="839"/>
    <n v="238"/>
    <x v="3"/>
    <s v="StyleRevolution"/>
    <n v="7.0387596899224806E-3"/>
  </r>
  <r>
    <s v="P175"/>
    <x v="0"/>
    <s v="2025-01-17"/>
    <x v="1"/>
    <s v="Explore the latest reel on Myntra! Trendy styles await."/>
    <n v="142"/>
    <n v="784"/>
    <n v="183"/>
    <n v="1704"/>
    <n v="995"/>
    <n v="154"/>
    <x v="5"/>
    <s v="FashionUpgrade"/>
    <n v="6.5082159624413154E-3"/>
  </r>
  <r>
    <s v="P062"/>
    <x v="1"/>
    <s v="2024-11-22"/>
    <x v="3"/>
    <s v="Explore the latest carousel on Myntra! Trendy styles await."/>
    <n v="53"/>
    <n v="81"/>
    <n v="379"/>
    <n v="954"/>
    <n v="7"/>
    <n v="148"/>
    <x v="5"/>
    <s v="MyntraFestiveEdit"/>
    <n v="5.3773584905660379E-3"/>
  </r>
  <r>
    <s v="P264"/>
    <x v="1"/>
    <s v="2025-01-30"/>
    <x v="4"/>
    <s v="Explore the latest image on Myntra! Trendy styles await."/>
    <n v="59"/>
    <n v="163"/>
    <n v="93"/>
    <n v="590"/>
    <n v="475"/>
    <n v="293"/>
    <x v="5"/>
    <s v="StyleRevolution"/>
    <n v="5.3389830508474576E-3"/>
  </r>
  <r>
    <s v="P143"/>
    <x v="2"/>
    <s v="2024-10-02"/>
    <x v="3"/>
    <s v="Explore the latest carousel on Myntra! Trendy styles await."/>
    <n v="80"/>
    <n v="362"/>
    <n v="80"/>
    <n v="1040"/>
    <n v="349"/>
    <n v="117"/>
    <x v="0"/>
    <s v="EndOfSeasonSale"/>
    <n v="5.0192307692307689E-3"/>
  </r>
  <r>
    <s v="P210"/>
    <x v="2"/>
    <s v="2025-02-19"/>
    <x v="4"/>
    <s v="Explore the latest image on Myntra! Trendy styles await."/>
    <n v="257"/>
    <n v="966"/>
    <n v="398"/>
    <n v="3341"/>
    <n v="2753"/>
    <n v="287"/>
    <x v="1"/>
    <s v="FashionUpgrade"/>
    <n v="4.8518407662376537E-3"/>
  </r>
  <r>
    <s v="P070"/>
    <x v="3"/>
    <s v="2025-04-02"/>
    <x v="2"/>
    <s v="Explore the latest video on Myntra! Trendy styles await."/>
    <n v="199"/>
    <n v="772"/>
    <n v="400"/>
    <n v="3582"/>
    <n v="2988"/>
    <n v="43"/>
    <x v="5"/>
    <s v="FashionUpgrade"/>
    <n v="3.8274706867671691E-3"/>
  </r>
  <r>
    <s v="P214"/>
    <x v="0"/>
    <s v="2024-12-23"/>
    <x v="4"/>
    <s v="Explore the latest image on Myntra! Trendy styles await."/>
    <n v="521"/>
    <n v="746"/>
    <n v="315"/>
    <n v="4168"/>
    <n v="3399"/>
    <n v="282"/>
    <x v="5"/>
    <s v="FashionUpgrade"/>
    <n v="3.795585412667946E-3"/>
  </r>
  <r>
    <s v="P053"/>
    <x v="2"/>
    <s v="2025-02-24"/>
    <x v="3"/>
    <s v="Explore the latest carousel on Myntra! Trendy styles await."/>
    <n v="804"/>
    <n v="639"/>
    <n v="43"/>
    <n v="4020"/>
    <n v="3144"/>
    <n v="11"/>
    <x v="4"/>
    <s v="StyleRevolution"/>
    <n v="3.6965174129353234E-3"/>
  </r>
  <r>
    <s v="P102"/>
    <x v="1"/>
    <s v="2024-09-18"/>
    <x v="1"/>
    <s v="Explore the latest reel on Myntra! Trendy styles await."/>
    <n v="1000"/>
    <n v="978"/>
    <n v="162"/>
    <n v="6000"/>
    <n v="5221"/>
    <n v="223"/>
    <x v="2"/>
    <s v="MyntraFestiveEdit"/>
    <n v="3.5666666666666668E-3"/>
  </r>
  <r>
    <s v="P124"/>
    <x v="2"/>
    <s v="2025-04-06"/>
    <x v="3"/>
    <s v="Explore the latest carousel on Myntra! Trendy styles await."/>
    <n v="736"/>
    <n v="771"/>
    <n v="225"/>
    <n v="5152"/>
    <n v="4706"/>
    <n v="19"/>
    <x v="5"/>
    <s v="MyntraFestiveEdit"/>
    <n v="3.3618012422360248E-3"/>
  </r>
  <r>
    <s v="P121"/>
    <x v="0"/>
    <s v="2024-07-29"/>
    <x v="0"/>
    <s v="Explore the latest story on Myntra! Trendy styles await."/>
    <n v="498"/>
    <n v="701"/>
    <n v="412"/>
    <n v="4980"/>
    <n v="4185"/>
    <n v="185"/>
    <x v="0"/>
    <s v="StyleRevolution"/>
    <n v="3.2349397590361443E-3"/>
  </r>
  <r>
    <s v="P224"/>
    <x v="3"/>
    <s v="2025-05-13"/>
    <x v="4"/>
    <s v="Explore the latest image on Myntra! Trendy styles await."/>
    <n v="602"/>
    <n v="594"/>
    <n v="156"/>
    <n v="4214"/>
    <n v="3363"/>
    <n v="164"/>
    <x v="5"/>
    <s v="MyntraFestiveEdit"/>
    <n v="3.2083531086853343E-3"/>
  </r>
  <r>
    <s v="P154"/>
    <x v="0"/>
    <s v="2024-10-09"/>
    <x v="3"/>
    <s v="Explore the latest carousel on Myntra! Trendy styles await."/>
    <n v="985"/>
    <n v="932"/>
    <n v="287"/>
    <n v="6895"/>
    <n v="6757"/>
    <n v="64"/>
    <x v="2"/>
    <s v="EndOfSeasonSale"/>
    <n v="3.1965192168237856E-3"/>
  </r>
  <r>
    <s v="P119"/>
    <x v="0"/>
    <s v="2025-02-07"/>
    <x v="1"/>
    <s v="Explore the latest reel on Myntra! Trendy styles await."/>
    <n v="1970"/>
    <n v="675"/>
    <n v="478"/>
    <n v="9850"/>
    <n v="8924"/>
    <n v="117"/>
    <x v="5"/>
    <s v="StyleRevolution"/>
    <n v="3.1705583756345178E-3"/>
  </r>
  <r>
    <s v="P287"/>
    <x v="0"/>
    <s v="2024-08-15"/>
    <x v="1"/>
    <s v="Explore the latest reel on Myntra! Trendy styles await."/>
    <n v="1164"/>
    <n v="616"/>
    <n v="324"/>
    <n v="6984"/>
    <n v="6636"/>
    <n v="82"/>
    <x v="4"/>
    <s v="MyntraFestiveEdit"/>
    <n v="3.0126002290950743E-3"/>
  </r>
  <r>
    <s v="P204"/>
    <x v="0"/>
    <s v="2025-01-01"/>
    <x v="3"/>
    <s v="Explore the latest carousel on Myntra! Trendy styles await."/>
    <n v="2234"/>
    <n v="653"/>
    <n v="432"/>
    <n v="11170"/>
    <n v="10569"/>
    <n v="198"/>
    <x v="0"/>
    <s v="StyleRevolution"/>
    <n v="2.9713518352730527E-3"/>
  </r>
  <r>
    <s v="P066"/>
    <x v="1"/>
    <s v="2024-07-26"/>
    <x v="3"/>
    <s v="Explore the latest carousel on Myntra! Trendy styles await."/>
    <n v="432"/>
    <n v="171"/>
    <n v="280"/>
    <n v="3024"/>
    <n v="2285"/>
    <n v="184"/>
    <x v="5"/>
    <s v="MyntraFestiveEdit"/>
    <n v="2.9199735449735448E-3"/>
  </r>
  <r>
    <s v="P183"/>
    <x v="0"/>
    <s v="2024-12-17"/>
    <x v="0"/>
    <s v="Explore the latest story on Myntra! Trendy styles await."/>
    <n v="360"/>
    <n v="590"/>
    <n v="393"/>
    <n v="4680"/>
    <n v="4322"/>
    <n v="208"/>
    <x v="3"/>
    <s v="EndOfSeasonSale"/>
    <n v="2.8696581196581195E-3"/>
  </r>
  <r>
    <s v="P031"/>
    <x v="0"/>
    <s v="2024-12-16"/>
    <x v="5"/>
    <s v="Explore the latest text on Myntra! Trendy styles await."/>
    <n v="438"/>
    <n v="153"/>
    <n v="275"/>
    <n v="3066"/>
    <n v="2701"/>
    <n v="282"/>
    <x v="5"/>
    <s v="StyleRevolution"/>
    <n v="2.8245270711024133E-3"/>
  </r>
  <r>
    <s v="P093"/>
    <x v="0"/>
    <s v="2024-12-11"/>
    <x v="2"/>
    <s v="Explore the latest video on Myntra! Trendy styles await."/>
    <n v="1431"/>
    <n v="951"/>
    <n v="26"/>
    <n v="8586"/>
    <n v="8396"/>
    <n v="150"/>
    <x v="3"/>
    <s v="FashionUpgrade"/>
    <n v="2.8045655718611697E-3"/>
  </r>
  <r>
    <s v="P263"/>
    <x v="0"/>
    <s v="2024-08-20"/>
    <x v="1"/>
    <s v="Explore the latest reel on Myntra! Trendy styles await."/>
    <n v="2603"/>
    <n v="690"/>
    <n v="205"/>
    <n v="13015"/>
    <n v="12130"/>
    <n v="20"/>
    <x v="5"/>
    <s v="FashionUpgrade"/>
    <n v="2.6876680752977332E-3"/>
  </r>
  <r>
    <s v="P248"/>
    <x v="3"/>
    <s v="2025-02-02"/>
    <x v="0"/>
    <s v="Explore the latest story on Myntra! Trendy styles await."/>
    <n v="886"/>
    <n v="126"/>
    <n v="153"/>
    <n v="4430"/>
    <n v="4037"/>
    <n v="212"/>
    <x v="5"/>
    <s v="MyntraFestiveEdit"/>
    <n v="2.6297968397291194E-3"/>
  </r>
  <r>
    <s v="P244"/>
    <x v="2"/>
    <s v="2024-10-25"/>
    <x v="2"/>
    <s v="Explore the latest video on Myntra! Trendy styles await."/>
    <n v="4661"/>
    <n v="935"/>
    <n v="433"/>
    <n v="23305"/>
    <n v="22583"/>
    <n v="63"/>
    <x v="3"/>
    <s v="FashionUpgrade"/>
    <n v="2.586998498176357E-3"/>
  </r>
  <r>
    <s v="P259"/>
    <x v="3"/>
    <s v="2025-02-10"/>
    <x v="5"/>
    <s v="Explore the latest text on Myntra! Trendy styles await."/>
    <n v="562"/>
    <n v="158"/>
    <n v="149"/>
    <n v="3372"/>
    <n v="2940"/>
    <n v="93"/>
    <x v="1"/>
    <s v="StyleRevolution"/>
    <n v="2.5771055753262156E-3"/>
  </r>
  <r>
    <s v="P219"/>
    <x v="1"/>
    <s v="2025-01-28"/>
    <x v="1"/>
    <s v="Explore the latest reel on Myntra! Trendy styles await."/>
    <n v="1188"/>
    <n v="470"/>
    <n v="174"/>
    <n v="7128"/>
    <n v="6145"/>
    <n v="270"/>
    <x v="2"/>
    <s v="EndOfSeasonSale"/>
    <n v="2.570145903479237E-3"/>
  </r>
  <r>
    <s v="P226"/>
    <x v="0"/>
    <s v="2024-08-07"/>
    <x v="3"/>
    <s v="Explore the latest carousel on Myntra! Trendy styles await."/>
    <n v="1741"/>
    <n v="164"/>
    <n v="318"/>
    <n v="8705"/>
    <n v="8272"/>
    <n v="121"/>
    <x v="5"/>
    <s v="EndOfSeasonSale"/>
    <n v="2.5537047673750719E-3"/>
  </r>
  <r>
    <s v="P265"/>
    <x v="1"/>
    <s v="2025-02-20"/>
    <x v="3"/>
    <s v="Explore the latest carousel on Myntra! Trendy styles await."/>
    <n v="1877"/>
    <n v="745"/>
    <n v="225"/>
    <n v="11262"/>
    <n v="10967"/>
    <n v="41"/>
    <x v="1"/>
    <s v="FashionUpgrade"/>
    <n v="2.5279701651571658E-3"/>
  </r>
  <r>
    <s v="P239"/>
    <x v="2"/>
    <s v="2025-02-24"/>
    <x v="5"/>
    <s v="Explore the latest text on Myntra! Trendy styles await."/>
    <n v="4188"/>
    <n v="942"/>
    <n v="118"/>
    <n v="20940"/>
    <n v="20471"/>
    <n v="102"/>
    <x v="5"/>
    <s v="EndOfSeasonSale"/>
    <n v="2.5062082139446036E-3"/>
  </r>
  <r>
    <s v="P277"/>
    <x v="3"/>
    <s v="2025-04-06"/>
    <x v="4"/>
    <s v="Explore the latest image on Myntra! Trendy styles await."/>
    <n v="4236"/>
    <n v="711"/>
    <n v="298"/>
    <n v="21180"/>
    <n v="20516"/>
    <n v="238"/>
    <x v="1"/>
    <s v="StyleRevolution"/>
    <n v="2.4763928234183192E-3"/>
  </r>
  <r>
    <s v="P297"/>
    <x v="1"/>
    <s v="2024-12-24"/>
    <x v="5"/>
    <s v="Explore the latest text on Myntra! Trendy styles await."/>
    <n v="2166"/>
    <n v="354"/>
    <n v="117"/>
    <n v="10830"/>
    <n v="10245"/>
    <n v="24"/>
    <x v="4"/>
    <s v="FashionUpgrade"/>
    <n v="2.4349030470914128E-3"/>
  </r>
  <r>
    <s v="P181"/>
    <x v="2"/>
    <s v="2025-03-21"/>
    <x v="4"/>
    <s v="Explore the latest image on Myntra! Trendy styles await."/>
    <n v="606"/>
    <n v="789"/>
    <n v="470"/>
    <n v="7878"/>
    <n v="7389"/>
    <n v="239"/>
    <x v="5"/>
    <s v="EndOfSeasonSale"/>
    <n v="2.3673521198273673E-3"/>
  </r>
  <r>
    <s v="P246"/>
    <x v="3"/>
    <s v="2024-10-11"/>
    <x v="4"/>
    <s v="Explore the latest image on Myntra! Trendy styles await."/>
    <n v="400"/>
    <n v="680"/>
    <n v="434"/>
    <n v="6400"/>
    <n v="5472"/>
    <n v="160"/>
    <x v="4"/>
    <s v="EndOfSeasonSale"/>
    <n v="2.3656250000000001E-3"/>
  </r>
  <r>
    <s v="P123"/>
    <x v="0"/>
    <s v="2024-06-14"/>
    <x v="0"/>
    <s v="Explore the latest story on Myntra! Trendy styles await."/>
    <n v="4363"/>
    <n v="649"/>
    <n v="140"/>
    <n v="21815"/>
    <n v="21481"/>
    <n v="157"/>
    <x v="2"/>
    <s v="EndOfSeasonSale"/>
    <n v="2.3616777446710977E-3"/>
  </r>
  <r>
    <s v="P120"/>
    <x v="3"/>
    <s v="2024-10-21"/>
    <x v="0"/>
    <s v="Explore the latest story on Myntra! Trendy styles await."/>
    <n v="780"/>
    <n v="928"/>
    <n v="301"/>
    <n v="8580"/>
    <n v="8081"/>
    <n v="91"/>
    <x v="2"/>
    <s v="StyleRevolution"/>
    <n v="2.3414918414918413E-3"/>
  </r>
  <r>
    <s v="P141"/>
    <x v="1"/>
    <s v="2024-08-31"/>
    <x v="4"/>
    <s v="Explore the latest image on Myntra! Trendy styles await."/>
    <n v="3170"/>
    <n v="857"/>
    <n v="379"/>
    <n v="19020"/>
    <n v="18559"/>
    <n v="240"/>
    <x v="5"/>
    <s v="MyntraFestiveEdit"/>
    <n v="2.3165089379600422E-3"/>
  </r>
  <r>
    <s v="P163"/>
    <x v="0"/>
    <s v="2025-04-08"/>
    <x v="4"/>
    <s v="Explore the latest image on Myntra! Trendy styles await."/>
    <n v="4501"/>
    <n v="375"/>
    <n v="323"/>
    <n v="22505"/>
    <n v="21836"/>
    <n v="132"/>
    <x v="5"/>
    <s v="StyleRevolution"/>
    <n v="2.3101532992668298E-3"/>
  </r>
  <r>
    <s v="P269"/>
    <x v="0"/>
    <s v="2024-11-05"/>
    <x v="2"/>
    <s v="Explore the latest video on Myntra! Trendy styles await."/>
    <n v="4561"/>
    <n v="51"/>
    <n v="441"/>
    <n v="22805"/>
    <n v="21890"/>
    <n v="45"/>
    <x v="5"/>
    <s v="EndOfSeasonSale"/>
    <n v="2.2157421618066216E-3"/>
  </r>
  <r>
    <s v="P042"/>
    <x v="2"/>
    <s v="2025-03-05"/>
    <x v="1"/>
    <s v="Explore the latest reel on Myntra! Trendy styles await."/>
    <n v="1543"/>
    <n v="820"/>
    <n v="333"/>
    <n v="12344"/>
    <n v="11496"/>
    <n v="241"/>
    <x v="5"/>
    <s v="MyntraFestiveEdit"/>
    <n v="2.1840570317563186E-3"/>
  </r>
  <r>
    <s v="P043"/>
    <x v="0"/>
    <s v="2024-12-14"/>
    <x v="3"/>
    <s v="Explore the latest carousel on Myntra! Trendy styles await."/>
    <n v="2174"/>
    <n v="658"/>
    <n v="15"/>
    <n v="13044"/>
    <n v="12206"/>
    <n v="137"/>
    <x v="2"/>
    <s v="StyleRevolution"/>
    <n v="2.1826126954921803E-3"/>
  </r>
  <r>
    <s v="P159"/>
    <x v="3"/>
    <s v="2024-11-25"/>
    <x v="0"/>
    <s v="Explore the latest story on Myntra! Trendy styles await."/>
    <n v="2120"/>
    <n v="158"/>
    <n v="488"/>
    <n v="12720"/>
    <n v="12085"/>
    <n v="17"/>
    <x v="4"/>
    <s v="EndOfSeasonSale"/>
    <n v="2.1745283018867927E-3"/>
  </r>
  <r>
    <s v="P146"/>
    <x v="2"/>
    <s v="2024-06-05"/>
    <x v="1"/>
    <s v="Explore the latest reel on Myntra! Trendy styles await."/>
    <n v="3065"/>
    <n v="772"/>
    <n v="142"/>
    <n v="18390"/>
    <n v="17875"/>
    <n v="200"/>
    <x v="5"/>
    <s v="FashionUpgrade"/>
    <n v="2.1636759108210986E-3"/>
  </r>
  <r>
    <s v="P029"/>
    <x v="0"/>
    <s v="2025-01-31"/>
    <x v="3"/>
    <s v="Explore the latest carousel on Myntra! Trendy styles await."/>
    <n v="2566"/>
    <n v="118"/>
    <n v="37"/>
    <n v="12830"/>
    <n v="12264"/>
    <n v="221"/>
    <x v="2"/>
    <s v="MyntraFestiveEdit"/>
    <n v="2.1208106001558845E-3"/>
  </r>
  <r>
    <s v="P137"/>
    <x v="3"/>
    <s v="2024-07-31"/>
    <x v="2"/>
    <s v="Explore the latest video on Myntra! Trendy styles await."/>
    <n v="3008"/>
    <n v="94"/>
    <n v="37"/>
    <n v="15040"/>
    <n v="14639"/>
    <n v="277"/>
    <x v="5"/>
    <s v="FashionUpgrade"/>
    <n v="2.087101063829787E-3"/>
  </r>
  <r>
    <s v="P087"/>
    <x v="1"/>
    <s v="2024-06-06"/>
    <x v="2"/>
    <s v="Explore the latest video on Myntra! Trendy styles await."/>
    <n v="1436"/>
    <n v="765"/>
    <n v="496"/>
    <n v="12924"/>
    <n v="12701"/>
    <n v="197"/>
    <x v="1"/>
    <s v="EndOfSeasonSale"/>
    <n v="2.0868152274837511E-3"/>
  </r>
  <r>
    <s v="P271"/>
    <x v="0"/>
    <s v="2024-10-17"/>
    <x v="2"/>
    <s v="Explore the latest video on Myntra! Trendy styles await."/>
    <n v="3575"/>
    <n v="749"/>
    <n v="111"/>
    <n v="21450"/>
    <n v="20785"/>
    <n v="195"/>
    <x v="5"/>
    <s v="MyntraFestiveEdit"/>
    <n v="2.0675990675990677E-3"/>
  </r>
  <r>
    <s v="P077"/>
    <x v="3"/>
    <s v="2025-03-04"/>
    <x v="0"/>
    <s v="Explore the latest story on Myntra! Trendy styles await."/>
    <n v="1249"/>
    <n v="116"/>
    <n v="420"/>
    <n v="8743"/>
    <n v="8538"/>
    <n v="63"/>
    <x v="3"/>
    <s v="MyntraFestiveEdit"/>
    <n v="2.0416333066453161E-3"/>
  </r>
  <r>
    <s v="P136"/>
    <x v="0"/>
    <s v="2024-07-11"/>
    <x v="5"/>
    <s v="Explore the latest text on Myntra! Trendy styles await."/>
    <n v="3134"/>
    <n v="888"/>
    <n v="444"/>
    <n v="21938"/>
    <n v="21337"/>
    <n v="130"/>
    <x v="2"/>
    <s v="StyleRevolution"/>
    <n v="2.0357370772176135E-3"/>
  </r>
  <r>
    <s v="P258"/>
    <x v="0"/>
    <s v="2024-08-05"/>
    <x v="0"/>
    <s v="Explore the latest story on Myntra! Trendy styles await."/>
    <n v="3601"/>
    <n v="695"/>
    <n v="75"/>
    <n v="21606"/>
    <n v="21454"/>
    <n v="172"/>
    <x v="5"/>
    <s v="EndOfSeasonSale"/>
    <n v="2.0230491530130522E-3"/>
  </r>
  <r>
    <s v="P276"/>
    <x v="1"/>
    <s v="2024-06-07"/>
    <x v="3"/>
    <s v="Explore the latest carousel on Myntra! Trendy styles await."/>
    <n v="1556"/>
    <n v="195"/>
    <n v="131"/>
    <n v="9336"/>
    <n v="8875"/>
    <n v="137"/>
    <x v="5"/>
    <s v="EndOfSeasonSale"/>
    <n v="2.015852613538989E-3"/>
  </r>
  <r>
    <s v="P148"/>
    <x v="0"/>
    <s v="2025-04-15"/>
    <x v="2"/>
    <s v="Explore the latest video on Myntra! Trendy styles await."/>
    <n v="4133"/>
    <n v="466"/>
    <n v="327"/>
    <n v="24798"/>
    <n v="24620"/>
    <n v="176"/>
    <x v="5"/>
    <s v="EndOfSeasonSale"/>
    <n v="1.9864505202032423E-3"/>
  </r>
  <r>
    <s v="P198"/>
    <x v="1"/>
    <s v="2024-09-14"/>
    <x v="4"/>
    <s v="Explore the latest image on Myntra! Trendy styles await."/>
    <n v="1048"/>
    <n v="374"/>
    <n v="450"/>
    <n v="9432"/>
    <n v="8882"/>
    <n v="158"/>
    <x v="1"/>
    <s v="EndOfSeasonSale"/>
    <n v="1.984732824427481E-3"/>
  </r>
  <r>
    <s v="P152"/>
    <x v="3"/>
    <s v="2025-04-22"/>
    <x v="4"/>
    <s v="Explore the latest image on Myntra! Trendy styles await."/>
    <n v="4804"/>
    <n v="550"/>
    <n v="270"/>
    <n v="28824"/>
    <n v="28370"/>
    <n v="47"/>
    <x v="0"/>
    <s v="StyleRevolution"/>
    <n v="1.9511518179295031E-3"/>
  </r>
  <r>
    <s v="P286"/>
    <x v="2"/>
    <s v="2024-09-25"/>
    <x v="2"/>
    <s v="Explore the latest video on Myntra! Trendy styles await."/>
    <n v="3389"/>
    <n v="344"/>
    <n v="229"/>
    <n v="20334"/>
    <n v="19443"/>
    <n v="228"/>
    <x v="1"/>
    <s v="EndOfSeasonSale"/>
    <n v="1.9484607062063538E-3"/>
  </r>
  <r>
    <s v="P068"/>
    <x v="0"/>
    <s v="2024-12-08"/>
    <x v="0"/>
    <s v="Explore the latest story on Myntra! Trendy styles await."/>
    <n v="2610"/>
    <n v="126"/>
    <n v="288"/>
    <n v="15660"/>
    <n v="15145"/>
    <n v="73"/>
    <x v="5"/>
    <s v="FashionUpgrade"/>
    <n v="1.9310344827586207E-3"/>
  </r>
  <r>
    <s v="P085"/>
    <x v="0"/>
    <s v="2025-04-19"/>
    <x v="4"/>
    <s v="Explore the latest image on Myntra! Trendy styles await."/>
    <n v="4177"/>
    <n v="569"/>
    <n v="55"/>
    <n v="25062"/>
    <n v="24847"/>
    <n v="230"/>
    <x v="5"/>
    <s v="FashionUpgrade"/>
    <n v="1.9156491900087782E-3"/>
  </r>
  <r>
    <s v="P032"/>
    <x v="1"/>
    <s v="2024-07-31"/>
    <x v="3"/>
    <s v="Explore the latest carousel on Myntra! Trendy styles await."/>
    <n v="2278"/>
    <n v="10"/>
    <n v="321"/>
    <n v="13668"/>
    <n v="12676"/>
    <n v="275"/>
    <x v="2"/>
    <s v="StyleRevolution"/>
    <n v="1.908838162130524E-3"/>
  </r>
  <r>
    <s v="P218"/>
    <x v="3"/>
    <s v="2024-06-11"/>
    <x v="3"/>
    <s v="Explore the latest carousel on Myntra! Trendy styles await."/>
    <n v="1869"/>
    <n v="453"/>
    <n v="490"/>
    <n v="14952"/>
    <n v="14309"/>
    <n v="275"/>
    <x v="0"/>
    <s v="FashionUpgrade"/>
    <n v="1.8806848582129483E-3"/>
  </r>
  <r>
    <s v="P211"/>
    <x v="1"/>
    <s v="2024-07-18"/>
    <x v="3"/>
    <s v="Explore the latest carousel on Myntra! Trendy styles await."/>
    <n v="2120"/>
    <n v="38"/>
    <n v="212"/>
    <n v="12720"/>
    <n v="12564"/>
    <n v="21"/>
    <x v="1"/>
    <s v="FashionUpgrade"/>
    <n v="1.8632075471698112E-3"/>
  </r>
  <r>
    <s v="P242"/>
    <x v="3"/>
    <s v="2024-07-07"/>
    <x v="1"/>
    <s v="Explore the latest reel on Myntra! Trendy styles await."/>
    <n v="4767"/>
    <n v="190"/>
    <n v="340"/>
    <n v="28602"/>
    <n v="28044"/>
    <n v="210"/>
    <x v="5"/>
    <s v="StyleRevolution"/>
    <n v="1.8519683938186141E-3"/>
  </r>
  <r>
    <s v="P041"/>
    <x v="0"/>
    <s v="2025-03-08"/>
    <x v="1"/>
    <s v="Explore the latest reel on Myntra! Trendy styles await."/>
    <n v="456"/>
    <n v="629"/>
    <n v="428"/>
    <n v="8208"/>
    <n v="7377"/>
    <n v="205"/>
    <x v="3"/>
    <s v="MyntraFestiveEdit"/>
    <n v="1.8433235867446392E-3"/>
  </r>
  <r>
    <s v="P294"/>
    <x v="3"/>
    <s v="2024-06-19"/>
    <x v="3"/>
    <s v="Explore the latest carousel on Myntra! Trendy styles await."/>
    <n v="4731"/>
    <n v="173"/>
    <n v="276"/>
    <n v="28386"/>
    <n v="28185"/>
    <n v="89"/>
    <x v="2"/>
    <s v="StyleRevolution"/>
    <n v="1.8248432325794406E-3"/>
  </r>
  <r>
    <s v="P006"/>
    <x v="3"/>
    <s v="2024-10-31"/>
    <x v="3"/>
    <s v="Explore the latest carousel on Myntra! Trendy styles await."/>
    <n v="2945"/>
    <n v="930"/>
    <n v="355"/>
    <n v="23560"/>
    <n v="23275"/>
    <n v="256"/>
    <x v="5"/>
    <s v="EndOfSeasonSale"/>
    <n v="1.7954159592529712E-3"/>
  </r>
  <r>
    <s v="P153"/>
    <x v="1"/>
    <s v="2025-01-01"/>
    <x v="2"/>
    <s v="Explore the latest video on Myntra! Trendy styles await."/>
    <n v="754"/>
    <n v="197"/>
    <n v="257"/>
    <n v="6786"/>
    <n v="6221"/>
    <n v="212"/>
    <x v="4"/>
    <s v="MyntraFestiveEdit"/>
    <n v="1.7801355732390215E-3"/>
  </r>
  <r>
    <s v="P037"/>
    <x v="3"/>
    <s v="2025-01-06"/>
    <x v="3"/>
    <s v="Explore the latest carousel on Myntra! Trendy styles await."/>
    <n v="3024"/>
    <n v="925"/>
    <n v="350"/>
    <n v="24192"/>
    <n v="23518"/>
    <n v="36"/>
    <x v="5"/>
    <s v="MyntraFestiveEdit"/>
    <n v="1.7770337301587303E-3"/>
  </r>
  <r>
    <s v="P241"/>
    <x v="3"/>
    <s v="2025-01-18"/>
    <x v="0"/>
    <s v="Explore the latest story on Myntra! Trendy styles await."/>
    <n v="4321"/>
    <n v="874"/>
    <n v="172"/>
    <n v="30247"/>
    <n v="29254"/>
    <n v="122"/>
    <x v="2"/>
    <s v="MyntraFestiveEdit"/>
    <n v="1.7743908486792079E-3"/>
  </r>
  <r>
    <s v="P112"/>
    <x v="1"/>
    <s v="2024-10-05"/>
    <x v="0"/>
    <s v="Explore the latest story on Myntra! Trendy styles await."/>
    <n v="1957"/>
    <n v="877"/>
    <n v="238"/>
    <n v="17613"/>
    <n v="16865"/>
    <n v="297"/>
    <x v="1"/>
    <s v="MyntraFestiveEdit"/>
    <n v="1.7441662408448305E-3"/>
  </r>
  <r>
    <s v="P129"/>
    <x v="1"/>
    <s v="2024-07-21"/>
    <x v="5"/>
    <s v="Explore the latest text on Myntra! Trendy styles await."/>
    <n v="2147"/>
    <n v="430"/>
    <n v="393"/>
    <n v="17176"/>
    <n v="16483"/>
    <n v="170"/>
    <x v="5"/>
    <s v="StyleRevolution"/>
    <n v="1.7291569632044714E-3"/>
  </r>
  <r>
    <s v="P028"/>
    <x v="0"/>
    <s v="2025-03-04"/>
    <x v="2"/>
    <s v="Explore the latest video on Myntra! Trendy styles await."/>
    <n v="432"/>
    <n v="624"/>
    <n v="123"/>
    <n v="6912"/>
    <n v="6259"/>
    <n v="79"/>
    <x v="4"/>
    <s v="EndOfSeasonSale"/>
    <n v="1.7057291666666666E-3"/>
  </r>
  <r>
    <s v="P046"/>
    <x v="1"/>
    <s v="2025-05-02"/>
    <x v="2"/>
    <s v="Explore the latest video on Myntra! Trendy styles await."/>
    <n v="1108"/>
    <n v="177"/>
    <n v="212"/>
    <n v="8864"/>
    <n v="8710"/>
    <n v="97"/>
    <x v="5"/>
    <s v="StyleRevolution"/>
    <n v="1.6888537906137185E-3"/>
  </r>
  <r>
    <s v="P089"/>
    <x v="1"/>
    <s v="2025-01-10"/>
    <x v="4"/>
    <s v="Explore the latest image on Myntra! Trendy styles await."/>
    <n v="2214"/>
    <n v="249"/>
    <n v="152"/>
    <n v="15498"/>
    <n v="14800"/>
    <n v="180"/>
    <x v="5"/>
    <s v="EndOfSeasonSale"/>
    <n v="1.6873144921925409E-3"/>
  </r>
  <r>
    <s v="P094"/>
    <x v="0"/>
    <s v="2024-11-07"/>
    <x v="4"/>
    <s v="Explore the latest image on Myntra! Trendy styles await."/>
    <n v="2647"/>
    <n v="304"/>
    <n v="170"/>
    <n v="18529"/>
    <n v="17841"/>
    <n v="46"/>
    <x v="5"/>
    <s v="EndOfSeasonSale"/>
    <n v="1.6843866371633656E-3"/>
  </r>
  <r>
    <s v="P116"/>
    <x v="2"/>
    <s v="2025-03-18"/>
    <x v="1"/>
    <s v="Explore the latest reel on Myntra! Trendy styles await."/>
    <n v="3704"/>
    <n v="186"/>
    <n v="458"/>
    <n v="25928"/>
    <n v="25081"/>
    <n v="131"/>
    <x v="5"/>
    <s v="FashionUpgrade"/>
    <n v="1.6769515581610613E-3"/>
  </r>
  <r>
    <s v="P275"/>
    <x v="3"/>
    <s v="2024-08-05"/>
    <x v="1"/>
    <s v="Explore the latest reel on Myntra! Trendy styles await."/>
    <n v="1741"/>
    <n v="831"/>
    <n v="345"/>
    <n v="17410"/>
    <n v="16844"/>
    <n v="58"/>
    <x v="3"/>
    <s v="StyleRevolution"/>
    <n v="1.6754738655944859E-3"/>
  </r>
  <r>
    <s v="P109"/>
    <x v="1"/>
    <s v="2024-08-08"/>
    <x v="0"/>
    <s v="Explore the latest story on Myntra! Trendy styles await."/>
    <n v="3649"/>
    <n v="215"/>
    <n v="413"/>
    <n v="25543"/>
    <n v="24963"/>
    <n v="167"/>
    <x v="0"/>
    <s v="FashionUpgrade"/>
    <n v="1.6744313510550835E-3"/>
  </r>
  <r>
    <s v="P047"/>
    <x v="1"/>
    <s v="2025-02-24"/>
    <x v="3"/>
    <s v="Explore the latest carousel on Myntra! Trendy styles await."/>
    <n v="2704"/>
    <n v="752"/>
    <n v="153"/>
    <n v="21632"/>
    <n v="20792"/>
    <n v="127"/>
    <x v="2"/>
    <s v="FashionUpgrade"/>
    <n v="1.6683616863905327E-3"/>
  </r>
  <r>
    <s v="P295"/>
    <x v="1"/>
    <s v="2025-05-06"/>
    <x v="4"/>
    <s v="Explore the latest image on Myntra! Trendy styles await."/>
    <n v="1952"/>
    <n v="344"/>
    <n v="287"/>
    <n v="15616"/>
    <n v="15403"/>
    <n v="235"/>
    <x v="2"/>
    <s v="MyntraFestiveEdit"/>
    <n v="1.6540727459016394E-3"/>
  </r>
  <r>
    <s v="P054"/>
    <x v="2"/>
    <s v="2025-03-13"/>
    <x v="3"/>
    <s v="Explore the latest carousel on Myntra! Trendy styles await."/>
    <n v="1686"/>
    <n v="904"/>
    <n v="472"/>
    <n v="18546"/>
    <n v="18171"/>
    <n v="52"/>
    <x v="3"/>
    <s v="EndOfSeasonSale"/>
    <n v="1.6510298716704412E-3"/>
  </r>
  <r>
    <s v="P060"/>
    <x v="0"/>
    <s v="2025-01-28"/>
    <x v="2"/>
    <s v="Explore the latest video on Myntra! Trendy styles await."/>
    <n v="904"/>
    <n v="973"/>
    <n v="63"/>
    <n v="11752"/>
    <n v="11580"/>
    <n v="84"/>
    <x v="5"/>
    <s v="FashionUpgrade"/>
    <n v="1.650782845473111E-3"/>
  </r>
  <r>
    <s v="P083"/>
    <x v="2"/>
    <s v="2024-10-15"/>
    <x v="2"/>
    <s v="Explore the latest video on Myntra! Trendy styles await."/>
    <n v="1094"/>
    <n v="472"/>
    <n v="21"/>
    <n v="9846"/>
    <n v="9609"/>
    <n v="112"/>
    <x v="0"/>
    <s v="MyntraFestiveEdit"/>
    <n v="1.6118220597196831E-3"/>
  </r>
  <r>
    <s v="P138"/>
    <x v="1"/>
    <s v="2025-03-29"/>
    <x v="4"/>
    <s v="Explore the latest image on Myntra! Trendy styles await."/>
    <n v="305"/>
    <n v="187"/>
    <n v="243"/>
    <n v="4575"/>
    <n v="3704"/>
    <n v="234"/>
    <x v="4"/>
    <s v="StyleRevolution"/>
    <n v="1.6065573770491803E-3"/>
  </r>
  <r>
    <s v="P221"/>
    <x v="3"/>
    <s v="2025-03-23"/>
    <x v="2"/>
    <s v="Explore the latest video on Myntra! Trendy styles await."/>
    <n v="4453"/>
    <n v="111"/>
    <n v="420"/>
    <n v="31171"/>
    <n v="30565"/>
    <n v="23"/>
    <x v="2"/>
    <s v="StyleRevolution"/>
    <n v="1.5989220750056141E-3"/>
  </r>
  <r>
    <s v="P252"/>
    <x v="3"/>
    <s v="2025-04-28"/>
    <x v="3"/>
    <s v="Explore the latest carousel on Myntra! Trendy styles await."/>
    <n v="2089"/>
    <n v="476"/>
    <n v="69"/>
    <n v="16712"/>
    <n v="16309"/>
    <n v="64"/>
    <x v="1"/>
    <s v="FashionUpgrade"/>
    <n v="1.5761129727142173E-3"/>
  </r>
  <r>
    <s v="P052"/>
    <x v="3"/>
    <s v="2025-01-03"/>
    <x v="4"/>
    <s v="Explore the latest image on Myntra! Trendy styles await."/>
    <n v="947"/>
    <n v="338"/>
    <n v="350"/>
    <n v="10417"/>
    <n v="9730"/>
    <n v="34"/>
    <x v="1"/>
    <s v="MyntraFestiveEdit"/>
    <n v="1.5695497744072191E-3"/>
  </r>
  <r>
    <s v="P140"/>
    <x v="3"/>
    <s v="2024-07-15"/>
    <x v="4"/>
    <s v="Explore the latest image on Myntra! Trendy styles await."/>
    <n v="2291"/>
    <n v="78"/>
    <n v="485"/>
    <n v="18328"/>
    <n v="18101"/>
    <n v="10"/>
    <x v="5"/>
    <s v="FashionUpgrade"/>
    <n v="1.5571802706241817E-3"/>
  </r>
  <r>
    <s v="P165"/>
    <x v="1"/>
    <s v="2024-12-11"/>
    <x v="5"/>
    <s v="Explore the latest text on Myntra! Trendy styles await."/>
    <n v="3239"/>
    <n v="43"/>
    <n v="211"/>
    <n v="22673"/>
    <n v="22171"/>
    <n v="230"/>
    <x v="0"/>
    <s v="EndOfSeasonSale"/>
    <n v="1.5405989502933004E-3"/>
  </r>
  <r>
    <s v="P164"/>
    <x v="2"/>
    <s v="2025-02-27"/>
    <x v="5"/>
    <s v="Explore the latest text on Myntra! Trendy styles await."/>
    <n v="4934"/>
    <n v="971"/>
    <n v="156"/>
    <n v="39472"/>
    <n v="39025"/>
    <n v="169"/>
    <x v="0"/>
    <s v="EndOfSeasonSale"/>
    <n v="1.5355188488042158E-3"/>
  </r>
  <r>
    <s v="P262"/>
    <x v="2"/>
    <s v="2025-01-18"/>
    <x v="4"/>
    <s v="Explore the latest image on Myntra! Trendy styles await."/>
    <n v="1206"/>
    <n v="238"/>
    <n v="36"/>
    <n v="9648"/>
    <n v="9417"/>
    <n v="237"/>
    <x v="0"/>
    <s v="MyntraFestiveEdit"/>
    <n v="1.5339966832504145E-3"/>
  </r>
  <r>
    <s v="P147"/>
    <x v="0"/>
    <s v="2024-10-21"/>
    <x v="1"/>
    <s v="Explore the latest reel on Myntra! Trendy styles await."/>
    <n v="3256"/>
    <n v="459"/>
    <n v="266"/>
    <n v="26048"/>
    <n v="25529"/>
    <n v="143"/>
    <x v="0"/>
    <s v="MyntraFestiveEdit"/>
    <n v="1.5283323095823095E-3"/>
  </r>
  <r>
    <s v="P004"/>
    <x v="0"/>
    <s v="2024-08-12"/>
    <x v="0"/>
    <s v="Explore the latest story on Myntra! Trendy styles await."/>
    <n v="2404"/>
    <n v="363"/>
    <n v="138"/>
    <n v="19232"/>
    <n v="18636"/>
    <n v="128"/>
    <x v="5"/>
    <s v="FashionUpgrade"/>
    <n v="1.5105033277870218E-3"/>
  </r>
  <r>
    <s v="P014"/>
    <x v="3"/>
    <s v="2025-02-16"/>
    <x v="0"/>
    <s v="Explore the latest story on Myntra! Trendy styles await."/>
    <n v="4242"/>
    <n v="555"/>
    <n v="131"/>
    <n v="33936"/>
    <n v="33802"/>
    <n v="265"/>
    <x v="2"/>
    <s v="MyntraFestiveEdit"/>
    <n v="1.4521452145214522E-3"/>
  </r>
  <r>
    <s v="P192"/>
    <x v="0"/>
    <s v="2024-11-29"/>
    <x v="2"/>
    <s v="Explore the latest video on Myntra! Trendy styles await."/>
    <n v="1176"/>
    <n v="464"/>
    <n v="394"/>
    <n v="14112"/>
    <n v="13588"/>
    <n v="272"/>
    <x v="5"/>
    <s v="FashionUpgrade"/>
    <n v="1.441326530612245E-3"/>
  </r>
  <r>
    <s v="P173"/>
    <x v="1"/>
    <s v="2024-12-05"/>
    <x v="2"/>
    <s v="Explore the latest video on Myntra! Trendy styles await."/>
    <n v="1330"/>
    <n v="925"/>
    <n v="35"/>
    <n v="15960"/>
    <n v="15379"/>
    <n v="229"/>
    <x v="4"/>
    <s v="StyleRevolution"/>
    <n v="1.4348370927318296E-3"/>
  </r>
  <r>
    <s v="P166"/>
    <x v="1"/>
    <s v="2025-02-16"/>
    <x v="1"/>
    <s v="Explore the latest reel on Myntra! Trendy styles await."/>
    <n v="1076"/>
    <n v="313"/>
    <n v="306"/>
    <n v="11836"/>
    <n v="11596"/>
    <n v="104"/>
    <x v="5"/>
    <s v="EndOfSeasonSale"/>
    <n v="1.4320716458262927E-3"/>
  </r>
  <r>
    <s v="P207"/>
    <x v="1"/>
    <s v="2024-12-29"/>
    <x v="3"/>
    <s v="Explore the latest carousel on Myntra! Trendy styles await."/>
    <n v="4274"/>
    <n v="340"/>
    <n v="281"/>
    <n v="34192"/>
    <n v="33446"/>
    <n v="129"/>
    <x v="3"/>
    <s v="MyntraFestiveEdit"/>
    <n v="1.4316214319138982E-3"/>
  </r>
  <r>
    <s v="P061"/>
    <x v="1"/>
    <s v="2024-09-05"/>
    <x v="2"/>
    <s v="Explore the latest video on Myntra! Trendy styles await."/>
    <n v="4886"/>
    <n v="983"/>
    <n v="409"/>
    <n v="43974"/>
    <n v="43239"/>
    <n v="65"/>
    <x v="5"/>
    <s v="FashionUpgrade"/>
    <n v="1.4276618001546368E-3"/>
  </r>
  <r>
    <s v="P125"/>
    <x v="1"/>
    <s v="2024-09-08"/>
    <x v="3"/>
    <s v="Explore the latest carousel on Myntra! Trendy styles await."/>
    <n v="3811"/>
    <n v="866"/>
    <n v="216"/>
    <n v="34299"/>
    <n v="34088"/>
    <n v="233"/>
    <x v="5"/>
    <s v="MyntraFestiveEdit"/>
    <n v="1.4265722032712324E-3"/>
  </r>
  <r>
    <s v="P272"/>
    <x v="0"/>
    <s v="2025-03-27"/>
    <x v="5"/>
    <s v="Explore the latest text on Myntra! Trendy styles await."/>
    <n v="4941"/>
    <n v="414"/>
    <n v="266"/>
    <n v="39528"/>
    <n v="39154"/>
    <n v="217"/>
    <x v="5"/>
    <s v="EndOfSeasonSale"/>
    <n v="1.4220299534507186E-3"/>
  </r>
  <r>
    <s v="P040"/>
    <x v="1"/>
    <s v="2025-03-07"/>
    <x v="4"/>
    <s v="Explore the latest image on Myntra! Trendy styles await."/>
    <n v="4750"/>
    <n v="151"/>
    <n v="415"/>
    <n v="38000"/>
    <n v="37792"/>
    <n v="299"/>
    <x v="1"/>
    <s v="EndOfSeasonSale"/>
    <n v="1.3989473684210526E-3"/>
  </r>
  <r>
    <s v="P299"/>
    <x v="3"/>
    <s v="2024-08-26"/>
    <x v="4"/>
    <s v="Explore the latest image on Myntra! Trendy styles await."/>
    <n v="2581"/>
    <n v="517"/>
    <n v="117"/>
    <n v="23229"/>
    <n v="22331"/>
    <n v="70"/>
    <x v="0"/>
    <s v="EndOfSeasonSale"/>
    <n v="1.3840458048129491E-3"/>
  </r>
  <r>
    <s v="P174"/>
    <x v="3"/>
    <s v="2024-06-22"/>
    <x v="5"/>
    <s v="Explore the latest text on Myntra! Trendy styles await."/>
    <n v="3828"/>
    <n v="148"/>
    <n v="253"/>
    <n v="30624"/>
    <n v="30229"/>
    <n v="235"/>
    <x v="0"/>
    <s v="StyleRevolution"/>
    <n v="1.3809430512016717E-3"/>
  </r>
  <r>
    <s v="P104"/>
    <x v="2"/>
    <s v="2025-03-23"/>
    <x v="0"/>
    <s v="Explore the latest story on Myntra! Trendy styles await."/>
    <n v="3655"/>
    <n v="568"/>
    <n v="286"/>
    <n v="32895"/>
    <n v="32015"/>
    <n v="199"/>
    <x v="5"/>
    <s v="StyleRevolution"/>
    <n v="1.3707250341997265E-3"/>
  </r>
  <r>
    <s v="P195"/>
    <x v="0"/>
    <s v="2024-08-15"/>
    <x v="3"/>
    <s v="Explore the latest carousel on Myntra! Trendy styles await."/>
    <n v="914"/>
    <n v="464"/>
    <n v="246"/>
    <n v="11882"/>
    <n v="11500"/>
    <n v="282"/>
    <x v="4"/>
    <s v="MyntraFestiveEdit"/>
    <n v="1.3667732704931829E-3"/>
  </r>
  <r>
    <s v="P184"/>
    <x v="1"/>
    <s v="2024-07-28"/>
    <x v="4"/>
    <s v="Explore the latest image on Myntra! Trendy styles await."/>
    <n v="3215"/>
    <n v="960"/>
    <n v="202"/>
    <n v="32150"/>
    <n v="31404"/>
    <n v="251"/>
    <x v="5"/>
    <s v="MyntraFestiveEdit"/>
    <n v="1.3614307931570763E-3"/>
  </r>
  <r>
    <s v="P092"/>
    <x v="1"/>
    <s v="2024-10-21"/>
    <x v="0"/>
    <s v="Explore the latest story on Myntra! Trendy styles await."/>
    <n v="3801"/>
    <n v="967"/>
    <n v="401"/>
    <n v="38010"/>
    <n v="37625"/>
    <n v="236"/>
    <x v="5"/>
    <s v="StyleRevolution"/>
    <n v="1.3599052880820836E-3"/>
  </r>
  <r>
    <s v="P088"/>
    <x v="3"/>
    <s v="2024-07-07"/>
    <x v="0"/>
    <s v="Explore the latest story on Myntra! Trendy styles await."/>
    <n v="302"/>
    <n v="47"/>
    <n v="430"/>
    <n v="5738"/>
    <n v="4890"/>
    <n v="25"/>
    <x v="1"/>
    <s v="EndOfSeasonSale"/>
    <n v="1.357615894039735E-3"/>
  </r>
  <r>
    <s v="P285"/>
    <x v="2"/>
    <s v="2024-07-18"/>
    <x v="5"/>
    <s v="Explore the latest text on Myntra! Trendy styles await."/>
    <n v="4021"/>
    <n v="794"/>
    <n v="77"/>
    <n v="36189"/>
    <n v="35505"/>
    <n v="174"/>
    <x v="0"/>
    <s v="FashionUpgrade"/>
    <n v="1.3517919809886982E-3"/>
  </r>
  <r>
    <s v="P050"/>
    <x v="2"/>
    <s v="2024-07-03"/>
    <x v="0"/>
    <s v="Explore the latest story on Myntra! Trendy styles await."/>
    <n v="2754"/>
    <n v="130"/>
    <n v="90"/>
    <n v="22032"/>
    <n v="21288"/>
    <n v="112"/>
    <x v="5"/>
    <s v="FashionUpgrade"/>
    <n v="1.3498547567175018E-3"/>
  </r>
  <r>
    <s v="P132"/>
    <x v="0"/>
    <s v="2025-03-04"/>
    <x v="0"/>
    <s v="Explore the latest story on Myntra! Trendy styles await."/>
    <n v="1947"/>
    <n v="842"/>
    <n v="101"/>
    <n v="21417"/>
    <n v="20967"/>
    <n v="186"/>
    <x v="5"/>
    <s v="EndOfSeasonSale"/>
    <n v="1.3493953401503478E-3"/>
  </r>
  <r>
    <s v="P229"/>
    <x v="0"/>
    <s v="2024-07-03"/>
    <x v="3"/>
    <s v="Explore the latest carousel on Myntra! Trendy styles await."/>
    <n v="4799"/>
    <n v="694"/>
    <n v="289"/>
    <n v="43191"/>
    <n v="42228"/>
    <n v="118"/>
    <x v="5"/>
    <s v="EndOfSeasonSale"/>
    <n v="1.3387048227640017E-3"/>
  </r>
  <r>
    <s v="P074"/>
    <x v="2"/>
    <s v="2024-10-28"/>
    <x v="1"/>
    <s v="Explore the latest reel on Myntra! Trendy styles await."/>
    <n v="1855"/>
    <n v="200"/>
    <n v="174"/>
    <n v="16695"/>
    <n v="16330"/>
    <n v="123"/>
    <x v="5"/>
    <s v="MyntraFestiveEdit"/>
    <n v="1.3351302785265049E-3"/>
  </r>
  <r>
    <s v="P254"/>
    <x v="1"/>
    <s v="2025-01-14"/>
    <x v="4"/>
    <s v="Explore the latest image on Myntra! Trendy styles await."/>
    <n v="2692"/>
    <n v="115"/>
    <n v="64"/>
    <n v="21536"/>
    <n v="21120"/>
    <n v="224"/>
    <x v="4"/>
    <s v="StyleRevolution"/>
    <n v="1.3331166419019316E-3"/>
  </r>
  <r>
    <s v="P131"/>
    <x v="0"/>
    <s v="2024-10-21"/>
    <x v="1"/>
    <s v="Explore the latest reel on Myntra! Trendy styles await."/>
    <n v="4840"/>
    <n v="658"/>
    <n v="211"/>
    <n v="43560"/>
    <n v="43225"/>
    <n v="57"/>
    <x v="2"/>
    <s v="EndOfSeasonSale"/>
    <n v="1.3106060606060607E-3"/>
  </r>
  <r>
    <s v="P236"/>
    <x v="3"/>
    <s v="2024-08-19"/>
    <x v="5"/>
    <s v="Explore the latest text on Myntra! Trendy styles await."/>
    <n v="1257"/>
    <n v="19"/>
    <n v="351"/>
    <n v="12570"/>
    <n v="11660"/>
    <n v="194"/>
    <x v="5"/>
    <s v="FashionUpgrade"/>
    <n v="1.2943516308671441E-3"/>
  </r>
  <r>
    <s v="P114"/>
    <x v="1"/>
    <s v="2024-11-14"/>
    <x v="0"/>
    <s v="Explore the latest story on Myntra! Trendy styles await."/>
    <n v="4000"/>
    <n v="689"/>
    <n v="488"/>
    <n v="40000"/>
    <n v="39569"/>
    <n v="44"/>
    <x v="2"/>
    <s v="MyntraFestiveEdit"/>
    <n v="1.29425E-3"/>
  </r>
  <r>
    <s v="P056"/>
    <x v="3"/>
    <s v="2024-12-18"/>
    <x v="3"/>
    <s v="Explore the latest carousel on Myntra! Trendy styles await."/>
    <n v="2946"/>
    <n v="498"/>
    <n v="367"/>
    <n v="29460"/>
    <n v="28527"/>
    <n v="60"/>
    <x v="3"/>
    <s v="EndOfSeasonSale"/>
    <n v="1.2936184657162252E-3"/>
  </r>
  <r>
    <s v="P105"/>
    <x v="0"/>
    <s v="2024-06-14"/>
    <x v="3"/>
    <s v="Explore the latest carousel on Myntra! Trendy styles await."/>
    <n v="498"/>
    <n v="38"/>
    <n v="42"/>
    <n v="4482"/>
    <n v="3647"/>
    <n v="32"/>
    <x v="3"/>
    <s v="StyleRevolution"/>
    <n v="1.2896028558679162E-3"/>
  </r>
  <r>
    <s v="P012"/>
    <x v="3"/>
    <s v="2024-07-21"/>
    <x v="1"/>
    <s v="Explore the latest reel on Myntra! Trendy styles await."/>
    <n v="1946"/>
    <n v="686"/>
    <n v="377"/>
    <n v="23352"/>
    <n v="22982"/>
    <n v="213"/>
    <x v="1"/>
    <s v="MyntraFestiveEdit"/>
    <n v="1.2885405960945528E-3"/>
  </r>
  <r>
    <s v="P235"/>
    <x v="3"/>
    <s v="2024-12-22"/>
    <x v="4"/>
    <s v="Explore the latest image on Myntra! Trendy styles await."/>
    <n v="3196"/>
    <n v="941"/>
    <n v="376"/>
    <n v="35156"/>
    <n v="34444"/>
    <n v="241"/>
    <x v="4"/>
    <s v="StyleRevolution"/>
    <n v="1.2837069063602229E-3"/>
  </r>
  <r>
    <s v="P033"/>
    <x v="3"/>
    <s v="2024-08-21"/>
    <x v="4"/>
    <s v="Explore the latest image on Myntra! Trendy styles await."/>
    <n v="1407"/>
    <n v="400"/>
    <n v="351"/>
    <n v="16884"/>
    <n v="15954"/>
    <n v="113"/>
    <x v="3"/>
    <s v="MyntraFestiveEdit"/>
    <n v="1.2781331438047854E-3"/>
  </r>
  <r>
    <s v="P038"/>
    <x v="2"/>
    <s v="2025-02-17"/>
    <x v="1"/>
    <s v="Explore the latest reel on Myntra! Trendy styles await."/>
    <n v="3138"/>
    <n v="123"/>
    <n v="291"/>
    <n v="28242"/>
    <n v="27550"/>
    <n v="87"/>
    <x v="5"/>
    <s v="StyleRevolution"/>
    <n v="1.2577012959422138E-3"/>
  </r>
  <r>
    <s v="P196"/>
    <x v="0"/>
    <s v="2024-12-19"/>
    <x v="5"/>
    <s v="Explore the latest text on Myntra! Trendy styles await."/>
    <n v="1813"/>
    <n v="623"/>
    <n v="72"/>
    <n v="19943"/>
    <n v="18959"/>
    <n v="85"/>
    <x v="2"/>
    <s v="MyntraFestiveEdit"/>
    <n v="1.2575841147269718E-3"/>
  </r>
  <r>
    <s v="P128"/>
    <x v="1"/>
    <s v="2025-01-10"/>
    <x v="4"/>
    <s v="Explore the latest image on Myntra! Trendy styles await."/>
    <n v="3092"/>
    <n v="106"/>
    <n v="291"/>
    <n v="27828"/>
    <n v="27217"/>
    <n v="102"/>
    <x v="5"/>
    <s v="StyleRevolution"/>
    <n v="1.2537731780940058E-3"/>
  </r>
  <r>
    <s v="P169"/>
    <x v="2"/>
    <s v="2024-12-03"/>
    <x v="2"/>
    <s v="Explore the latest video on Myntra! Trendy styles await."/>
    <n v="3809"/>
    <n v="273"/>
    <n v="200"/>
    <n v="34281"/>
    <n v="33534"/>
    <n v="83"/>
    <x v="5"/>
    <s v="MyntraFestiveEdit"/>
    <n v="1.2490884163239111E-3"/>
  </r>
  <r>
    <s v="P293"/>
    <x v="3"/>
    <s v="2025-05-14"/>
    <x v="5"/>
    <s v="Explore the latest text on Myntra! Trendy styles await."/>
    <n v="2634"/>
    <n v="726"/>
    <n v="241"/>
    <n v="28974"/>
    <n v="28102"/>
    <n v="277"/>
    <x v="5"/>
    <s v="MyntraFestiveEdit"/>
    <n v="1.2428384068475184E-3"/>
  </r>
  <r>
    <s v="P292"/>
    <x v="3"/>
    <s v="2024-11-17"/>
    <x v="5"/>
    <s v="Explore the latest text on Myntra! Trendy styles await."/>
    <n v="880"/>
    <n v="297"/>
    <n v="345"/>
    <n v="12320"/>
    <n v="11978"/>
    <n v="238"/>
    <x v="5"/>
    <s v="EndOfSeasonSale"/>
    <n v="1.2353896103896105E-3"/>
  </r>
  <r>
    <s v="P212"/>
    <x v="2"/>
    <s v="2025-03-03"/>
    <x v="2"/>
    <s v="Explore the latest video on Myntra! Trendy styles await."/>
    <n v="3874"/>
    <n v="884"/>
    <n v="19"/>
    <n v="38740"/>
    <n v="38552"/>
    <n v="219"/>
    <x v="5"/>
    <s v="StyleRevolution"/>
    <n v="1.2330924109447599E-3"/>
  </r>
  <r>
    <s v="P110"/>
    <x v="0"/>
    <s v="2024-07-29"/>
    <x v="1"/>
    <s v="Explore the latest reel on Myntra! Trendy styles await."/>
    <n v="3523"/>
    <n v="753"/>
    <n v="482"/>
    <n v="38753"/>
    <n v="38579"/>
    <n v="270"/>
    <x v="0"/>
    <s v="EndOfSeasonSale"/>
    <n v="1.2277759141227777E-3"/>
  </r>
  <r>
    <s v="P245"/>
    <x v="3"/>
    <s v="2025-01-12"/>
    <x v="1"/>
    <s v="Explore the latest reel on Myntra! Trendy styles await."/>
    <n v="4134"/>
    <n v="824"/>
    <n v="99"/>
    <n v="41340"/>
    <n v="41050"/>
    <n v="177"/>
    <x v="5"/>
    <s v="EndOfSeasonSale"/>
    <n v="1.2232704402515724E-3"/>
  </r>
  <r>
    <s v="P075"/>
    <x v="0"/>
    <s v="2024-08-01"/>
    <x v="1"/>
    <s v="Explore the latest reel on Myntra! Trendy styles await."/>
    <n v="1674"/>
    <n v="929"/>
    <n v="37"/>
    <n v="21762"/>
    <n v="20998"/>
    <n v="255"/>
    <x v="3"/>
    <s v="MyntraFestiveEdit"/>
    <n v="1.2131237937689551E-3"/>
  </r>
  <r>
    <s v="P255"/>
    <x v="3"/>
    <s v="2025-04-03"/>
    <x v="0"/>
    <s v="Explore the latest story on Myntra! Trendy styles await."/>
    <n v="3767"/>
    <n v="514"/>
    <n v="238"/>
    <n v="37670"/>
    <n v="36807"/>
    <n v="226"/>
    <x v="3"/>
    <s v="FashionUpgrade"/>
    <n v="1.199628351473321E-3"/>
  </r>
  <r>
    <s v="P071"/>
    <x v="2"/>
    <s v="2024-09-02"/>
    <x v="3"/>
    <s v="Explore the latest carousel on Myntra! Trendy styles await."/>
    <n v="2551"/>
    <n v="915"/>
    <n v="205"/>
    <n v="30612"/>
    <n v="30360"/>
    <n v="227"/>
    <x v="3"/>
    <s v="EndOfSeasonSale"/>
    <n v="1.1992029269567491E-3"/>
  </r>
  <r>
    <s v="P065"/>
    <x v="0"/>
    <s v="2025-03-28"/>
    <x v="0"/>
    <s v="Explore the latest story on Myntra! Trendy styles await."/>
    <n v="1881"/>
    <n v="501"/>
    <n v="99"/>
    <n v="20691"/>
    <n v="19987"/>
    <n v="289"/>
    <x v="5"/>
    <s v="EndOfSeasonSale"/>
    <n v="1.1990720603160794E-3"/>
  </r>
  <r>
    <s v="P247"/>
    <x v="3"/>
    <s v="2024-08-27"/>
    <x v="1"/>
    <s v="Explore the latest reel on Myntra! Trendy styles await."/>
    <n v="3960"/>
    <n v="266"/>
    <n v="8"/>
    <n v="35640"/>
    <n v="34850"/>
    <n v="208"/>
    <x v="2"/>
    <s v="StyleRevolution"/>
    <n v="1.1879910213243546E-3"/>
  </r>
  <r>
    <s v="P035"/>
    <x v="0"/>
    <s v="2024-11-30"/>
    <x v="2"/>
    <s v="Explore the latest video on Myntra! Trendy styles await."/>
    <n v="3775"/>
    <n v="16"/>
    <n v="239"/>
    <n v="33975"/>
    <n v="33310"/>
    <n v="271"/>
    <x v="1"/>
    <s v="MyntraFestiveEdit"/>
    <n v="1.1861662987490802E-3"/>
  </r>
  <r>
    <s v="P117"/>
    <x v="1"/>
    <s v="2024-11-04"/>
    <x v="4"/>
    <s v="Explore the latest image on Myntra! Trendy styles await."/>
    <n v="1606"/>
    <n v="451"/>
    <n v="405"/>
    <n v="20878"/>
    <n v="20190"/>
    <n v="219"/>
    <x v="0"/>
    <s v="EndOfSeasonSale"/>
    <n v="1.1792317271769326E-3"/>
  </r>
  <r>
    <s v="P251"/>
    <x v="0"/>
    <s v="2025-03-27"/>
    <x v="3"/>
    <s v="Explore the latest carousel on Myntra! Trendy styles await."/>
    <n v="1377"/>
    <n v="796"/>
    <n v="387"/>
    <n v="22032"/>
    <n v="21869"/>
    <n v="189"/>
    <x v="2"/>
    <s v="MyntraFestiveEdit"/>
    <n v="1.1619462599854757E-3"/>
  </r>
  <r>
    <s v="P011"/>
    <x v="0"/>
    <s v="2025-02-02"/>
    <x v="0"/>
    <s v="Explore the latest story on Myntra! Trendy styles await."/>
    <n v="1792"/>
    <n v="614"/>
    <n v="497"/>
    <n v="25088"/>
    <n v="24675"/>
    <n v="65"/>
    <x v="5"/>
    <s v="FashionUpgrade"/>
    <n v="1.1571269132653061E-3"/>
  </r>
  <r>
    <s v="P161"/>
    <x v="1"/>
    <s v="2025-02-19"/>
    <x v="5"/>
    <s v="Explore the latest text on Myntra! Trendy styles await."/>
    <n v="4671"/>
    <n v="876"/>
    <n v="366"/>
    <n v="51381"/>
    <n v="50565"/>
    <n v="245"/>
    <x v="5"/>
    <s v="EndOfSeasonSale"/>
    <n v="1.1508145034156594E-3"/>
  </r>
  <r>
    <s v="P155"/>
    <x v="2"/>
    <s v="2024-12-21"/>
    <x v="4"/>
    <s v="Explore the latest image on Myntra! Trendy styles await."/>
    <n v="2283"/>
    <n v="210"/>
    <n v="130"/>
    <n v="22830"/>
    <n v="22617"/>
    <n v="143"/>
    <x v="0"/>
    <s v="MyntraFestiveEdit"/>
    <n v="1.1489268506351292E-3"/>
  </r>
  <r>
    <s v="P284"/>
    <x v="1"/>
    <s v="2024-09-17"/>
    <x v="5"/>
    <s v="Explore the latest text on Myntra! Trendy styles await."/>
    <n v="571"/>
    <n v="190"/>
    <n v="352"/>
    <n v="9707"/>
    <n v="9418"/>
    <n v="231"/>
    <x v="5"/>
    <s v="EndOfSeasonSale"/>
    <n v="1.1465952405480581E-3"/>
  </r>
  <r>
    <s v="P113"/>
    <x v="1"/>
    <s v="2024-10-02"/>
    <x v="3"/>
    <s v="Explore the latest carousel on Myntra! Trendy styles await."/>
    <n v="4419"/>
    <n v="236"/>
    <n v="369"/>
    <n v="44190"/>
    <n v="43582"/>
    <n v="10"/>
    <x v="5"/>
    <s v="StyleRevolution"/>
    <n v="1.1369088028965828E-3"/>
  </r>
  <r>
    <s v="P158"/>
    <x v="0"/>
    <s v="2024-08-11"/>
    <x v="0"/>
    <s v="Explore the latest story on Myntra! Trendy styles await."/>
    <n v="1762"/>
    <n v="405"/>
    <n v="423"/>
    <n v="22906"/>
    <n v="21925"/>
    <n v="25"/>
    <x v="5"/>
    <s v="EndOfSeasonSale"/>
    <n v="1.1307081114118572E-3"/>
  </r>
  <r>
    <s v="P098"/>
    <x v="1"/>
    <s v="2024-06-10"/>
    <x v="0"/>
    <s v="Explore the latest story on Myntra! Trendy styles await."/>
    <n v="1575"/>
    <n v="771"/>
    <n v="486"/>
    <n v="25200"/>
    <n v="24826"/>
    <n v="17"/>
    <x v="5"/>
    <s v="MyntraFestiveEdit"/>
    <n v="1.1238095238095239E-3"/>
  </r>
  <r>
    <s v="P227"/>
    <x v="0"/>
    <s v="2024-06-12"/>
    <x v="5"/>
    <s v="Explore the latest text on Myntra! Trendy styles await."/>
    <n v="246"/>
    <n v="149"/>
    <n v="130"/>
    <n v="4674"/>
    <n v="4390"/>
    <n v="217"/>
    <x v="3"/>
    <s v="EndOfSeasonSale"/>
    <n v="1.1232349165596919E-3"/>
  </r>
  <r>
    <s v="P222"/>
    <x v="3"/>
    <s v="2024-10-08"/>
    <x v="1"/>
    <s v="Explore the latest reel on Myntra! Trendy styles await."/>
    <n v="1814"/>
    <n v="653"/>
    <n v="363"/>
    <n v="25396"/>
    <n v="25286"/>
    <n v="39"/>
    <x v="5"/>
    <s v="FashionUpgrade"/>
    <n v="1.1143487163332809E-3"/>
  </r>
  <r>
    <s v="P278"/>
    <x v="1"/>
    <s v="2024-11-26"/>
    <x v="5"/>
    <s v="Explore the latest text on Myntra! Trendy styles await."/>
    <n v="4516"/>
    <n v="836"/>
    <n v="169"/>
    <n v="49676"/>
    <n v="49257"/>
    <n v="282"/>
    <x v="5"/>
    <s v="FashionUpgrade"/>
    <n v="1.1114018842096787E-3"/>
  </r>
  <r>
    <s v="P151"/>
    <x v="0"/>
    <s v="2024-07-26"/>
    <x v="4"/>
    <s v="Explore the latest image on Myntra! Trendy styles await."/>
    <n v="3559"/>
    <n v="59"/>
    <n v="289"/>
    <n v="35590"/>
    <n v="35105"/>
    <n v="122"/>
    <x v="0"/>
    <s v="MyntraFestiveEdit"/>
    <n v="1.0977802753582469E-3"/>
  </r>
  <r>
    <s v="P156"/>
    <x v="3"/>
    <s v="2024-10-22"/>
    <x v="3"/>
    <s v="Explore the latest carousel on Myntra! Trendy styles await."/>
    <n v="3352"/>
    <n v="941"/>
    <n v="482"/>
    <n v="43576"/>
    <n v="43338"/>
    <n v="240"/>
    <x v="5"/>
    <s v="MyntraFestiveEdit"/>
    <n v="1.095786671562328E-3"/>
  </r>
  <r>
    <s v="P157"/>
    <x v="2"/>
    <s v="2024-07-23"/>
    <x v="0"/>
    <s v="Explore the latest story on Myntra! Trendy styles await."/>
    <n v="4775"/>
    <n v="173"/>
    <n v="206"/>
    <n v="47750"/>
    <n v="47544"/>
    <n v="187"/>
    <x v="4"/>
    <s v="StyleRevolution"/>
    <n v="1.0793717277486911E-3"/>
  </r>
  <r>
    <s v="P206"/>
    <x v="1"/>
    <s v="2024-06-24"/>
    <x v="5"/>
    <s v="Explore the latest text on Myntra! Trendy styles await."/>
    <n v="941"/>
    <n v="121"/>
    <n v="458"/>
    <n v="14115"/>
    <n v="13838"/>
    <n v="87"/>
    <x v="1"/>
    <s v="EndOfSeasonSale"/>
    <n v="1.0768685795253278E-3"/>
  </r>
  <r>
    <s v="P282"/>
    <x v="0"/>
    <s v="2024-10-03"/>
    <x v="2"/>
    <s v="Explore the latest video on Myntra! Trendy styles await."/>
    <n v="1488"/>
    <n v="417"/>
    <n v="168"/>
    <n v="19344"/>
    <n v="18395"/>
    <n v="30"/>
    <x v="5"/>
    <s v="FashionUpgrade"/>
    <n v="1.071650124069479E-3"/>
  </r>
  <r>
    <s v="P049"/>
    <x v="1"/>
    <s v="2024-06-10"/>
    <x v="0"/>
    <s v="Explore the latest story on Myntra! Trendy styles await."/>
    <n v="2164"/>
    <n v="549"/>
    <n v="274"/>
    <n v="28132"/>
    <n v="27361"/>
    <n v="177"/>
    <x v="5"/>
    <s v="FashionUpgrade"/>
    <n v="1.0617801791554101E-3"/>
  </r>
  <r>
    <s v="P205"/>
    <x v="1"/>
    <s v="2025-04-24"/>
    <x v="2"/>
    <s v="Explore the latest video on Myntra! Trendy styles await."/>
    <n v="3820"/>
    <n v="697"/>
    <n v="268"/>
    <n v="45840"/>
    <n v="45631"/>
    <n v="171"/>
    <x v="3"/>
    <s v="FashionUpgrade"/>
    <n v="1.043848167539267E-3"/>
  </r>
  <r>
    <s v="P008"/>
    <x v="2"/>
    <s v="2024-07-13"/>
    <x v="4"/>
    <s v="Explore the latest image on Myntra! Trendy styles await."/>
    <n v="3929"/>
    <n v="262"/>
    <n v="278"/>
    <n v="43219"/>
    <n v="42841"/>
    <n v="39"/>
    <x v="1"/>
    <s v="MyntraFestiveEdit"/>
    <n v="1.0340359564080612E-3"/>
  </r>
  <r>
    <s v="P096"/>
    <x v="1"/>
    <s v="2024-09-10"/>
    <x v="4"/>
    <s v="Explore the latest image on Myntra! Trendy styles await."/>
    <n v="1238"/>
    <n v="366"/>
    <n v="444"/>
    <n v="19808"/>
    <n v="19334"/>
    <n v="123"/>
    <x v="5"/>
    <s v="MyntraFestiveEdit"/>
    <n v="1.0339256865912762E-3"/>
  </r>
  <r>
    <s v="P018"/>
    <x v="0"/>
    <s v="2024-08-19"/>
    <x v="1"/>
    <s v="Explore the latest reel on Myntra! Trendy styles await."/>
    <n v="3000"/>
    <n v="382"/>
    <n v="325"/>
    <n v="36000"/>
    <n v="35819"/>
    <n v="19"/>
    <x v="5"/>
    <s v="EndOfSeasonSale"/>
    <n v="1.0297222222222222E-3"/>
  </r>
  <r>
    <s v="P182"/>
    <x v="3"/>
    <s v="2024-07-31"/>
    <x v="4"/>
    <s v="Explore the latest image on Myntra! Trendy styles await."/>
    <n v="4689"/>
    <n v="134"/>
    <n v="403"/>
    <n v="51579"/>
    <n v="50924"/>
    <n v="173"/>
    <x v="5"/>
    <s v="FashionUpgrade"/>
    <n v="1.0132030477519921E-3"/>
  </r>
  <r>
    <s v="P266"/>
    <x v="3"/>
    <s v="2024-11-25"/>
    <x v="0"/>
    <s v="Explore the latest story on Myntra! Trendy styles await."/>
    <n v="4182"/>
    <n v="640"/>
    <n v="240"/>
    <n v="50184"/>
    <n v="49351"/>
    <n v="10"/>
    <x v="0"/>
    <s v="MyntraFestiveEdit"/>
    <n v="1.0086880280567511E-3"/>
  </r>
  <r>
    <s v="P019"/>
    <x v="0"/>
    <s v="2024-06-23"/>
    <x v="2"/>
    <s v="Explore the latest video on Myntra! Trendy styles await."/>
    <n v="1071"/>
    <n v="519"/>
    <n v="22"/>
    <n v="16065"/>
    <n v="15865"/>
    <n v="103"/>
    <x v="0"/>
    <s v="MyntraFestiveEdit"/>
    <n v="1.0034235916588858E-3"/>
  </r>
  <r>
    <s v="P108"/>
    <x v="1"/>
    <s v="2025-03-25"/>
    <x v="2"/>
    <s v="Explore the latest video on Myntra! Trendy styles await."/>
    <n v="4050"/>
    <n v="871"/>
    <n v="347"/>
    <n v="52650"/>
    <n v="51755"/>
    <n v="209"/>
    <x v="3"/>
    <s v="FashionUpgrade"/>
    <n v="1.0005698005698005E-3"/>
  </r>
  <r>
    <s v="P126"/>
    <x v="0"/>
    <s v="2025-03-28"/>
    <x v="3"/>
    <s v="Explore the latest carousel on Myntra! Trendy styles await."/>
    <n v="4158"/>
    <n v="167"/>
    <n v="241"/>
    <n v="45738"/>
    <n v="45183"/>
    <n v="142"/>
    <x v="5"/>
    <s v="EndOfSeasonSale"/>
    <n v="9.9829463465827108E-4"/>
  </r>
  <r>
    <s v="P103"/>
    <x v="3"/>
    <s v="2024-06-11"/>
    <x v="4"/>
    <s v="Explore the latest image on Myntra! Trendy styles await."/>
    <n v="3689"/>
    <n v="48"/>
    <n v="306"/>
    <n v="40579"/>
    <n v="39588"/>
    <n v="212"/>
    <x v="5"/>
    <s v="FashionUpgrade"/>
    <n v="9.963281500283399E-4"/>
  </r>
  <r>
    <s v="P191"/>
    <x v="2"/>
    <s v="2024-12-03"/>
    <x v="0"/>
    <s v="Explore the latest story on Myntra! Trendy styles await."/>
    <n v="4285"/>
    <n v="886"/>
    <n v="376"/>
    <n v="55705"/>
    <n v="55556"/>
    <n v="51"/>
    <x v="3"/>
    <s v="StyleRevolution"/>
    <n v="9.9578134817341355E-4"/>
  </r>
  <r>
    <s v="P193"/>
    <x v="1"/>
    <s v="2024-09-11"/>
    <x v="4"/>
    <s v="Explore the latest image on Myntra! Trendy styles await."/>
    <n v="4858"/>
    <n v="317"/>
    <n v="129"/>
    <n v="53438"/>
    <n v="52687"/>
    <n v="223"/>
    <x v="4"/>
    <s v="FashionUpgrade"/>
    <n v="9.925521164714248E-4"/>
  </r>
  <r>
    <s v="P167"/>
    <x v="0"/>
    <s v="2024-11-28"/>
    <x v="5"/>
    <s v="Explore the latest text on Myntra! Trendy styles await."/>
    <n v="4771"/>
    <n v="818"/>
    <n v="56"/>
    <n v="57252"/>
    <n v="56378"/>
    <n v="150"/>
    <x v="5"/>
    <s v="EndOfSeasonSale"/>
    <n v="9.8599175574652425E-4"/>
  </r>
  <r>
    <s v="P044"/>
    <x v="1"/>
    <s v="2025-03-02"/>
    <x v="4"/>
    <s v="Explore the latest image on Myntra! Trendy styles await."/>
    <n v="2358"/>
    <n v="784"/>
    <n v="344"/>
    <n v="35370"/>
    <n v="34475"/>
    <n v="216"/>
    <x v="0"/>
    <s v="FashionUpgrade"/>
    <n v="9.8558100084817648E-4"/>
  </r>
  <r>
    <s v="P171"/>
    <x v="2"/>
    <s v="2024-12-31"/>
    <x v="2"/>
    <s v="Explore the latest video on Myntra! Trendy styles await."/>
    <n v="1018"/>
    <n v="447"/>
    <n v="332"/>
    <n v="18324"/>
    <n v="18164"/>
    <n v="38"/>
    <x v="2"/>
    <s v="StyleRevolution"/>
    <n v="9.8068107400130981E-4"/>
  </r>
  <r>
    <s v="P273"/>
    <x v="2"/>
    <s v="2024-10-12"/>
    <x v="0"/>
    <s v="Explore the latest story on Myntra! Trendy styles await."/>
    <n v="3641"/>
    <n v="226"/>
    <n v="46"/>
    <n v="40051"/>
    <n v="39319"/>
    <n v="296"/>
    <x v="5"/>
    <s v="EndOfSeasonSale"/>
    <n v="9.7700431949264682E-4"/>
  </r>
  <r>
    <s v="P243"/>
    <x v="1"/>
    <s v="2025-03-06"/>
    <x v="4"/>
    <s v="Explore the latest image on Myntra! Trendy styles await."/>
    <n v="3592"/>
    <n v="911"/>
    <n v="375"/>
    <n v="50288"/>
    <n v="49490"/>
    <n v="32"/>
    <x v="5"/>
    <s v="EndOfSeasonSale"/>
    <n v="9.7001272669424115E-4"/>
  </r>
  <r>
    <s v="P185"/>
    <x v="0"/>
    <s v="2025-01-11"/>
    <x v="3"/>
    <s v="Explore the latest carousel on Myntra! Trendy styles await."/>
    <n v="4523"/>
    <n v="61"/>
    <n v="157"/>
    <n v="49753"/>
    <n v="49329"/>
    <n v="71"/>
    <x v="4"/>
    <s v="StyleRevolution"/>
    <n v="9.5290736237010833E-4"/>
  </r>
  <r>
    <s v="P081"/>
    <x v="0"/>
    <s v="2024-10-19"/>
    <x v="0"/>
    <s v="Explore the latest story on Myntra! Trendy styles await."/>
    <n v="1816"/>
    <n v="29"/>
    <n v="41"/>
    <n v="19976"/>
    <n v="19262"/>
    <n v="283"/>
    <x v="1"/>
    <s v="MyntraFestiveEdit"/>
    <n v="9.4413295955146181E-4"/>
  </r>
  <r>
    <s v="P017"/>
    <x v="3"/>
    <s v="2025-05-05"/>
    <x v="5"/>
    <s v="Explore the latest text on Myntra! Trendy styles await."/>
    <n v="4441"/>
    <n v="511"/>
    <n v="70"/>
    <n v="53292"/>
    <n v="53082"/>
    <n v="159"/>
    <x v="5"/>
    <s v="MyntraFestiveEdit"/>
    <n v="9.4235532537716724E-4"/>
  </r>
  <r>
    <s v="P139"/>
    <x v="2"/>
    <s v="2024-10-29"/>
    <x v="5"/>
    <s v="Explore the latest text on Myntra! Trendy styles await."/>
    <n v="2746"/>
    <n v="156"/>
    <n v="203"/>
    <n v="32952"/>
    <n v="32147"/>
    <n v="147"/>
    <x v="0"/>
    <s v="EndOfSeasonSale"/>
    <n v="9.422796795338674E-4"/>
  </r>
  <r>
    <s v="P069"/>
    <x v="1"/>
    <s v="2025-03-08"/>
    <x v="5"/>
    <s v="Explore the latest text on Myntra! Trendy styles await."/>
    <n v="1292"/>
    <n v="626"/>
    <n v="496"/>
    <n v="25840"/>
    <n v="24916"/>
    <n v="149"/>
    <x v="4"/>
    <s v="StyleRevolution"/>
    <n v="9.3421052631578944E-4"/>
  </r>
  <r>
    <s v="P059"/>
    <x v="0"/>
    <s v="2024-06-22"/>
    <x v="5"/>
    <s v="Explore the latest text on Myntra! Trendy styles await."/>
    <n v="2180"/>
    <n v="263"/>
    <n v="387"/>
    <n v="30520"/>
    <n v="30059"/>
    <n v="174"/>
    <x v="5"/>
    <s v="FashionUpgrade"/>
    <n v="9.272608125819135E-4"/>
  </r>
  <r>
    <s v="P100"/>
    <x v="2"/>
    <s v="2025-02-10"/>
    <x v="2"/>
    <s v="Explore the latest video on Myntra! Trendy styles await."/>
    <n v="1766"/>
    <n v="92"/>
    <n v="424"/>
    <n v="24724"/>
    <n v="24333"/>
    <n v="52"/>
    <x v="5"/>
    <s v="FashionUpgrade"/>
    <n v="9.2298980747451871E-4"/>
  </r>
  <r>
    <s v="P055"/>
    <x v="3"/>
    <s v="2024-06-17"/>
    <x v="4"/>
    <s v="Explore the latest image on Myntra! Trendy styles await."/>
    <n v="1226"/>
    <n v="119"/>
    <n v="7"/>
    <n v="14712"/>
    <n v="14049"/>
    <n v="123"/>
    <x v="4"/>
    <s v="StyleRevolution"/>
    <n v="9.1897770527460583E-4"/>
  </r>
  <r>
    <s v="P177"/>
    <x v="0"/>
    <s v="2024-07-10"/>
    <x v="3"/>
    <s v="Explore the latest carousel on Myntra! Trendy styles await."/>
    <n v="3099"/>
    <n v="694"/>
    <n v="171"/>
    <n v="43386"/>
    <n v="42921"/>
    <n v="52"/>
    <x v="5"/>
    <s v="StyleRevolution"/>
    <n v="9.1365878393951966E-4"/>
  </r>
  <r>
    <s v="P160"/>
    <x v="1"/>
    <s v="2024-08-24"/>
    <x v="2"/>
    <s v="Explore the latest video on Myntra! Trendy styles await."/>
    <n v="1082"/>
    <n v="209"/>
    <n v="484"/>
    <n v="19476"/>
    <n v="18654"/>
    <n v="20"/>
    <x v="5"/>
    <s v="StyleRevolution"/>
    <n v="9.113781063873486E-4"/>
  </r>
  <r>
    <s v="P001"/>
    <x v="1"/>
    <s v="2024-12-23"/>
    <x v="1"/>
    <s v="Explore the latest reel on Myntra! Trendy styles await."/>
    <n v="1461"/>
    <n v="184"/>
    <n v="344"/>
    <n v="21915"/>
    <n v="21675"/>
    <n v="15"/>
    <x v="5"/>
    <s v="FashionUpgrade"/>
    <n v="9.0759753593429152E-4"/>
  </r>
  <r>
    <s v="P201"/>
    <x v="1"/>
    <s v="2025-01-15"/>
    <x v="1"/>
    <s v="Explore the latest reel on Myntra! Trendy styles await."/>
    <n v="802"/>
    <n v="262"/>
    <n v="244"/>
    <n v="14436"/>
    <n v="14280"/>
    <n v="49"/>
    <x v="3"/>
    <s v="StyleRevolution"/>
    <n v="9.0606816292601827E-4"/>
  </r>
  <r>
    <s v="P180"/>
    <x v="2"/>
    <s v="2024-12-03"/>
    <x v="5"/>
    <s v="Explore the latest text on Myntra! Trendy styles await."/>
    <n v="3711"/>
    <n v="352"/>
    <n v="290"/>
    <n v="48243"/>
    <n v="47579"/>
    <n v="11"/>
    <x v="3"/>
    <s v="StyleRevolution"/>
    <n v="9.0230707045581737E-4"/>
  </r>
  <r>
    <s v="P026"/>
    <x v="2"/>
    <s v="2025-04-05"/>
    <x v="1"/>
    <s v="Explore the latest reel on Myntra! Trendy styles await."/>
    <n v="3009"/>
    <n v="413"/>
    <n v="358"/>
    <n v="42126"/>
    <n v="41309"/>
    <n v="211"/>
    <x v="5"/>
    <s v="EndOfSeasonSale"/>
    <n v="8.9730807577268206E-4"/>
  </r>
  <r>
    <s v="P130"/>
    <x v="2"/>
    <s v="2024-09-29"/>
    <x v="1"/>
    <s v="Explore the latest reel on Myntra! Trendy styles await."/>
    <n v="2936"/>
    <n v="439"/>
    <n v="44"/>
    <n v="38168"/>
    <n v="37571"/>
    <n v="22"/>
    <x v="5"/>
    <s v="MyntraFestiveEdit"/>
    <n v="8.9577656675749319E-4"/>
  </r>
  <r>
    <s v="P079"/>
    <x v="0"/>
    <s v="2024-10-09"/>
    <x v="3"/>
    <s v="Explore the latest carousel on Myntra! Trendy styles await."/>
    <n v="3068"/>
    <n v="137"/>
    <n v="329"/>
    <n v="39884"/>
    <n v="39404"/>
    <n v="266"/>
    <x v="4"/>
    <s v="MyntraFestiveEdit"/>
    <n v="8.8606960184535151E-4"/>
  </r>
  <r>
    <s v="P072"/>
    <x v="2"/>
    <s v="2025-03-03"/>
    <x v="1"/>
    <s v="Explore the latest reel on Myntra! Trendy styles await."/>
    <n v="296"/>
    <n v="60"/>
    <n v="141"/>
    <n v="5624"/>
    <n v="5239"/>
    <n v="88"/>
    <x v="5"/>
    <s v="StyleRevolution"/>
    <n v="8.8371266002844947E-4"/>
  </r>
  <r>
    <s v="P009"/>
    <x v="3"/>
    <s v="2024-08-30"/>
    <x v="5"/>
    <s v="Explore the latest text on Myntra! Trendy styles await."/>
    <n v="3784"/>
    <n v="808"/>
    <n v="404"/>
    <n v="56760"/>
    <n v="56343"/>
    <n v="131"/>
    <x v="1"/>
    <s v="MyntraFestiveEdit"/>
    <n v="8.8019732205778722E-4"/>
  </r>
  <r>
    <s v="P260"/>
    <x v="0"/>
    <s v="2025-02-12"/>
    <x v="0"/>
    <s v="Explore the latest story on Myntra! Trendy styles await."/>
    <n v="4332"/>
    <n v="771"/>
    <n v="219"/>
    <n v="60648"/>
    <n v="60397"/>
    <n v="10"/>
    <x v="5"/>
    <s v="MyntraFestiveEdit"/>
    <n v="8.7752275425405618E-4"/>
  </r>
  <r>
    <s v="P249"/>
    <x v="1"/>
    <s v="2024-07-18"/>
    <x v="4"/>
    <s v="Explore the latest image on Myntra! Trendy styles await."/>
    <n v="827"/>
    <n v="77"/>
    <n v="402"/>
    <n v="14886"/>
    <n v="14129"/>
    <n v="254"/>
    <x v="5"/>
    <s v="EndOfSeasonSale"/>
    <n v="8.7733440816874914E-4"/>
  </r>
  <r>
    <s v="P097"/>
    <x v="0"/>
    <s v="2024-08-13"/>
    <x v="4"/>
    <s v="Explore the latest image on Myntra! Trendy styles await."/>
    <n v="4739"/>
    <n v="527"/>
    <n v="135"/>
    <n v="61607"/>
    <n v="61333"/>
    <n v="36"/>
    <x v="1"/>
    <s v="EndOfSeasonSale"/>
    <n v="8.7668609086629767E-4"/>
  </r>
  <r>
    <s v="P253"/>
    <x v="1"/>
    <s v="2024-08-03"/>
    <x v="1"/>
    <s v="Explore the latest reel on Myntra! Trendy styles await."/>
    <n v="3791"/>
    <n v="593"/>
    <n v="228"/>
    <n v="53074"/>
    <n v="52613"/>
    <n v="205"/>
    <x v="3"/>
    <s v="FashionUpgrade"/>
    <n v="8.6897539284772204E-4"/>
  </r>
  <r>
    <s v="P084"/>
    <x v="3"/>
    <s v="2024-12-09"/>
    <x v="4"/>
    <s v="Explore the latest image on Myntra! Trendy styles await."/>
    <n v="1841"/>
    <n v="851"/>
    <n v="342"/>
    <n v="34979"/>
    <n v="34154"/>
    <n v="255"/>
    <x v="3"/>
    <s v="FashionUpgrade"/>
    <n v="8.6737756939878215E-4"/>
  </r>
  <r>
    <s v="P162"/>
    <x v="3"/>
    <s v="2025-04-01"/>
    <x v="0"/>
    <s v="Explore the latest story on Myntra! Trendy styles await."/>
    <n v="3430"/>
    <n v="566"/>
    <n v="164"/>
    <n v="48020"/>
    <n v="47305"/>
    <n v="120"/>
    <x v="5"/>
    <s v="EndOfSeasonSale"/>
    <n v="8.6630570595585166E-4"/>
  </r>
  <r>
    <s v="P208"/>
    <x v="2"/>
    <s v="2024-06-24"/>
    <x v="2"/>
    <s v="Explore the latest video on Myntra! Trendy styles await."/>
    <n v="2949"/>
    <n v="476"/>
    <n v="403"/>
    <n v="44235"/>
    <n v="43705"/>
    <n v="135"/>
    <x v="3"/>
    <s v="FashionUpgrade"/>
    <n v="8.6537809426924376E-4"/>
  </r>
  <r>
    <s v="P240"/>
    <x v="1"/>
    <s v="2024-08-26"/>
    <x v="3"/>
    <s v="Explore the latest carousel on Myntra! Trendy styles await."/>
    <n v="929"/>
    <n v="192"/>
    <n v="322"/>
    <n v="16722"/>
    <n v="15996"/>
    <n v="145"/>
    <x v="5"/>
    <s v="MyntraFestiveEdit"/>
    <n v="8.6293505561535694E-4"/>
  </r>
  <r>
    <s v="P231"/>
    <x v="0"/>
    <s v="2025-05-01"/>
    <x v="5"/>
    <s v="Explore the latest text on Myntra! Trendy styles await."/>
    <n v="1430"/>
    <n v="376"/>
    <n v="33"/>
    <n v="21450"/>
    <n v="20509"/>
    <n v="251"/>
    <x v="5"/>
    <s v="MyntraFestiveEdit"/>
    <n v="8.5734265734265739E-4"/>
  </r>
  <r>
    <s v="P106"/>
    <x v="0"/>
    <s v="2025-02-04"/>
    <x v="4"/>
    <s v="Explore the latest image on Myntra! Trendy styles await."/>
    <n v="4619"/>
    <n v="821"/>
    <n v="499"/>
    <n v="69285"/>
    <n v="69141"/>
    <n v="298"/>
    <x v="5"/>
    <s v="FashionUpgrade"/>
    <n v="8.5718409468138847E-4"/>
  </r>
  <r>
    <s v="P082"/>
    <x v="0"/>
    <s v="2024-07-24"/>
    <x v="4"/>
    <s v="Explore the latest image on Myntra! Trendy styles await."/>
    <n v="725"/>
    <n v="88"/>
    <n v="428"/>
    <n v="14500"/>
    <n v="13637"/>
    <n v="200"/>
    <x v="5"/>
    <s v="MyntraFestiveEdit"/>
    <n v="8.558620689655172E-4"/>
  </r>
  <r>
    <s v="P199"/>
    <x v="2"/>
    <s v="2024-11-30"/>
    <x v="3"/>
    <s v="Explore the latest carousel on Myntra! Trendy styles await."/>
    <n v="2509"/>
    <n v="324"/>
    <n v="171"/>
    <n v="35126"/>
    <n v="34685"/>
    <n v="277"/>
    <x v="5"/>
    <s v="EndOfSeasonSale"/>
    <n v="8.552069691966065E-4"/>
  </r>
  <r>
    <s v="P188"/>
    <x v="2"/>
    <s v="2024-06-06"/>
    <x v="1"/>
    <s v="Explore the latest reel on Myntra! Trendy styles await."/>
    <n v="2728"/>
    <n v="533"/>
    <n v="215"/>
    <n v="40920"/>
    <n v="40816"/>
    <n v="137"/>
    <x v="5"/>
    <s v="EndOfSeasonSale"/>
    <n v="8.4946236559139781E-4"/>
  </r>
  <r>
    <s v="P186"/>
    <x v="3"/>
    <s v="2024-08-24"/>
    <x v="3"/>
    <s v="Explore the latest carousel on Myntra! Trendy styles await."/>
    <n v="4292"/>
    <n v="51"/>
    <n v="392"/>
    <n v="55796"/>
    <n v="54826"/>
    <n v="264"/>
    <x v="0"/>
    <s v="FashionUpgrade"/>
    <n v="8.4862714173059006E-4"/>
  </r>
  <r>
    <s v="P194"/>
    <x v="2"/>
    <s v="2024-10-02"/>
    <x v="0"/>
    <s v="Explore the latest story on Myntra! Trendy styles await."/>
    <n v="4350"/>
    <n v="771"/>
    <n v="7"/>
    <n v="60900"/>
    <n v="60592"/>
    <n v="195"/>
    <x v="0"/>
    <s v="EndOfSeasonSale"/>
    <n v="8.420361247947455E-4"/>
  </r>
  <r>
    <s v="P268"/>
    <x v="0"/>
    <s v="2025-04-13"/>
    <x v="1"/>
    <s v="Explore the latest reel on Myntra! Trendy styles await."/>
    <n v="4579"/>
    <n v="125"/>
    <n v="300"/>
    <n v="59527"/>
    <n v="59400"/>
    <n v="269"/>
    <x v="2"/>
    <s v="FashionUpgrade"/>
    <n v="8.4062694239588759E-4"/>
  </r>
  <r>
    <s v="P290"/>
    <x v="0"/>
    <s v="2024-12-20"/>
    <x v="3"/>
    <s v="Explore the latest carousel on Myntra! Trendy styles await."/>
    <n v="2107"/>
    <n v="550"/>
    <n v="349"/>
    <n v="35819"/>
    <n v="35340"/>
    <n v="191"/>
    <x v="5"/>
    <s v="MyntraFestiveEdit"/>
    <n v="8.3921940869371005E-4"/>
  </r>
  <r>
    <s v="P187"/>
    <x v="1"/>
    <s v="2024-12-22"/>
    <x v="1"/>
    <s v="Explore the latest reel on Myntra! Trendy styles await."/>
    <n v="1644"/>
    <n v="546"/>
    <n v="150"/>
    <n v="27948"/>
    <n v="27184"/>
    <n v="300"/>
    <x v="4"/>
    <s v="FashionUpgrade"/>
    <n v="8.3726921425504499E-4"/>
  </r>
  <r>
    <s v="P300"/>
    <x v="1"/>
    <s v="2024-08-31"/>
    <x v="3"/>
    <s v="Explore the latest carousel on Myntra! Trendy styles await."/>
    <n v="4494"/>
    <n v="717"/>
    <n v="45"/>
    <n v="62916"/>
    <n v="62688"/>
    <n v="191"/>
    <x v="5"/>
    <s v="FashionUpgrade"/>
    <n v="8.3539958039290487E-4"/>
  </r>
  <r>
    <s v="P280"/>
    <x v="2"/>
    <s v="2024-10-21"/>
    <x v="2"/>
    <s v="Explore the latest video on Myntra! Trendy styles await."/>
    <n v="4275"/>
    <n v="680"/>
    <n v="385"/>
    <n v="64125"/>
    <n v="63650"/>
    <n v="104"/>
    <x v="5"/>
    <s v="StyleRevolution"/>
    <n v="8.3274853801169587E-4"/>
  </r>
  <r>
    <s v="P261"/>
    <x v="0"/>
    <s v="2024-10-27"/>
    <x v="4"/>
    <s v="Explore the latest image on Myntra! Trendy styles await."/>
    <n v="4853"/>
    <n v="837"/>
    <n v="340"/>
    <n v="72795"/>
    <n v="72237"/>
    <n v="170"/>
    <x v="5"/>
    <s v="EndOfSeasonSale"/>
    <n v="8.2835359571399136E-4"/>
  </r>
  <r>
    <s v="P209"/>
    <x v="1"/>
    <s v="2025-03-19"/>
    <x v="2"/>
    <s v="Explore the latest video on Myntra! Trendy styles await."/>
    <n v="3160"/>
    <n v="204"/>
    <n v="297"/>
    <n v="44240"/>
    <n v="43666"/>
    <n v="49"/>
    <x v="4"/>
    <s v="FashionUpgrade"/>
    <n v="8.2753164556962017E-4"/>
  </r>
  <r>
    <s v="P213"/>
    <x v="3"/>
    <s v="2025-05-01"/>
    <x v="3"/>
    <s v="Explore the latest carousel on Myntra! Trendy styles await."/>
    <n v="2696"/>
    <n v="628"/>
    <n v="443"/>
    <n v="45832"/>
    <n v="45632"/>
    <n v="248"/>
    <x v="5"/>
    <s v="MyntraFestiveEdit"/>
    <n v="8.2191481934019896E-4"/>
  </r>
  <r>
    <s v="P202"/>
    <x v="3"/>
    <s v="2024-06-02"/>
    <x v="4"/>
    <s v="Explore the latest image on Myntra! Trendy styles await."/>
    <n v="1871"/>
    <n v="252"/>
    <n v="335"/>
    <n v="29936"/>
    <n v="29576"/>
    <n v="288"/>
    <x v="5"/>
    <s v="EndOfSeasonSale"/>
    <n v="8.2108498129342599E-4"/>
  </r>
  <r>
    <s v="P078"/>
    <x v="1"/>
    <s v="2024-06-17"/>
    <x v="4"/>
    <s v="Explore the latest image on Myntra! Trendy styles await."/>
    <n v="954"/>
    <n v="324"/>
    <n v="288"/>
    <n v="19080"/>
    <n v="18859"/>
    <n v="21"/>
    <x v="5"/>
    <s v="MyntraFestiveEdit"/>
    <n v="8.2075471698113205E-4"/>
  </r>
  <r>
    <s v="P064"/>
    <x v="3"/>
    <s v="2024-08-17"/>
    <x v="4"/>
    <s v="Explore the latest image on Myntra! Trendy styles await."/>
    <n v="2878"/>
    <n v="248"/>
    <n v="416"/>
    <n v="43170"/>
    <n v="42667"/>
    <n v="75"/>
    <x v="4"/>
    <s v="EndOfSeasonSale"/>
    <n v="8.2047718322909424E-4"/>
  </r>
  <r>
    <s v="P228"/>
    <x v="0"/>
    <s v="2024-07-01"/>
    <x v="0"/>
    <s v="Explore the latest story on Myntra! Trendy styles await."/>
    <n v="4808"/>
    <n v="772"/>
    <n v="320"/>
    <n v="72120"/>
    <n v="71696"/>
    <n v="195"/>
    <x v="1"/>
    <s v="StyleRevolution"/>
    <n v="8.1808097615085969E-4"/>
  </r>
  <r>
    <s v="P076"/>
    <x v="1"/>
    <s v="2024-11-07"/>
    <x v="0"/>
    <s v="Explore the latest story on Myntra! Trendy styles await."/>
    <n v="1121"/>
    <n v="135"/>
    <n v="18"/>
    <n v="15694"/>
    <n v="14957"/>
    <n v="99"/>
    <x v="2"/>
    <s v="StyleRevolution"/>
    <n v="8.1177520071364843E-4"/>
  </r>
  <r>
    <s v="P057"/>
    <x v="1"/>
    <s v="2024-10-21"/>
    <x v="2"/>
    <s v="Explore the latest video on Myntra! Trendy styles await."/>
    <n v="2825"/>
    <n v="535"/>
    <n v="295"/>
    <n v="45200"/>
    <n v="44739"/>
    <n v="169"/>
    <x v="5"/>
    <s v="EndOfSeasonSale"/>
    <n v="8.0862831858407073E-4"/>
  </r>
  <r>
    <s v="P122"/>
    <x v="0"/>
    <s v="2024-10-02"/>
    <x v="5"/>
    <s v="Explore the latest text on Myntra! Trendy styles await."/>
    <n v="3432"/>
    <n v="869"/>
    <n v="123"/>
    <n v="54912"/>
    <n v="53916"/>
    <n v="264"/>
    <x v="4"/>
    <s v="EndOfSeasonSale"/>
    <n v="8.0565268065268061E-4"/>
  </r>
  <r>
    <s v="P022"/>
    <x v="3"/>
    <s v="2025-02-27"/>
    <x v="5"/>
    <s v="Explore the latest text on Myntra! Trendy styles await."/>
    <n v="1570"/>
    <n v="187"/>
    <n v="260"/>
    <n v="25120"/>
    <n v="24613"/>
    <n v="133"/>
    <x v="5"/>
    <s v="StyleRevolution"/>
    <n v="8.0294585987261149E-4"/>
  </r>
  <r>
    <s v="P118"/>
    <x v="3"/>
    <s v="2024-11-04"/>
    <x v="4"/>
    <s v="Explore the latest image on Myntra! Trendy styles await."/>
    <n v="4551"/>
    <n v="714"/>
    <n v="207"/>
    <n v="68265"/>
    <n v="67754"/>
    <n v="57"/>
    <x v="5"/>
    <s v="EndOfSeasonSale"/>
    <n v="8.015820698747528E-4"/>
  </r>
  <r>
    <s v="P257"/>
    <x v="3"/>
    <s v="2025-04-06"/>
    <x v="4"/>
    <s v="Explore the latest image on Myntra! Trendy styles await."/>
    <n v="3090"/>
    <n v="697"/>
    <n v="164"/>
    <n v="49440"/>
    <n v="48524"/>
    <n v="25"/>
    <x v="0"/>
    <s v="StyleRevolution"/>
    <n v="7.9915048543689315E-4"/>
  </r>
  <r>
    <s v="P091"/>
    <x v="3"/>
    <s v="2025-03-24"/>
    <x v="4"/>
    <s v="Explore the latest image on Myntra! Trendy styles await."/>
    <n v="1263"/>
    <n v="397"/>
    <n v="357"/>
    <n v="25260"/>
    <n v="24615"/>
    <n v="137"/>
    <x v="5"/>
    <s v="EndOfSeasonSale"/>
    <n v="7.9849564528899452E-4"/>
  </r>
  <r>
    <s v="P274"/>
    <x v="1"/>
    <s v="2025-01-01"/>
    <x v="3"/>
    <s v="Explore the latest carousel on Myntra! Trendy styles await."/>
    <n v="3535"/>
    <n v="494"/>
    <n v="152"/>
    <n v="53025"/>
    <n v="52791"/>
    <n v="44"/>
    <x v="0"/>
    <s v="EndOfSeasonSale"/>
    <n v="7.8849599245638851E-4"/>
  </r>
  <r>
    <s v="P051"/>
    <x v="3"/>
    <s v="2024-06-13"/>
    <x v="3"/>
    <s v="Explore the latest carousel on Myntra! Trendy styles await."/>
    <n v="2200"/>
    <n v="504"/>
    <n v="239"/>
    <n v="37400"/>
    <n v="36938"/>
    <n v="225"/>
    <x v="5"/>
    <s v="MyntraFestiveEdit"/>
    <n v="7.8689839572192513E-4"/>
  </r>
  <r>
    <s v="P080"/>
    <x v="0"/>
    <s v="2024-06-13"/>
    <x v="0"/>
    <s v="Explore the latest story on Myntra! Trendy styles await."/>
    <n v="2103"/>
    <n v="892"/>
    <n v="103"/>
    <n v="39957"/>
    <n v="39466"/>
    <n v="28"/>
    <x v="2"/>
    <s v="EndOfSeasonSale"/>
    <n v="7.7533348349475683E-4"/>
  </r>
  <r>
    <s v="P230"/>
    <x v="3"/>
    <s v="2024-07-15"/>
    <x v="1"/>
    <s v="Explore the latest reel on Myntra! Trendy styles await."/>
    <n v="3663"/>
    <n v="17"/>
    <n v="295"/>
    <n v="51282"/>
    <n v="50567"/>
    <n v="84"/>
    <x v="5"/>
    <s v="FashionUpgrade"/>
    <n v="7.7512577512577508E-4"/>
  </r>
  <r>
    <s v="P149"/>
    <x v="1"/>
    <s v="2024-06-16"/>
    <x v="2"/>
    <s v="Explore the latest video on Myntra! Trendy styles await."/>
    <n v="1702"/>
    <n v="750"/>
    <n v="179"/>
    <n v="34040"/>
    <n v="33174"/>
    <n v="76"/>
    <x v="5"/>
    <s v="MyntraFestiveEdit"/>
    <n v="7.7291421856639239E-4"/>
  </r>
  <r>
    <s v="P021"/>
    <x v="0"/>
    <s v="2025-01-04"/>
    <x v="1"/>
    <s v="Explore the latest reel on Myntra! Trendy styles await."/>
    <n v="4838"/>
    <n v="640"/>
    <n v="128"/>
    <n v="72570"/>
    <n v="72396"/>
    <n v="83"/>
    <x v="4"/>
    <s v="MyntraFestiveEdit"/>
    <n v="7.7249552156538517E-4"/>
  </r>
  <r>
    <s v="P023"/>
    <x v="3"/>
    <s v="2024-11-06"/>
    <x v="2"/>
    <s v="Explore the latest video on Myntra! Trendy styles await."/>
    <n v="1606"/>
    <n v="547"/>
    <n v="316"/>
    <n v="32120"/>
    <n v="31736"/>
    <n v="225"/>
    <x v="5"/>
    <s v="MyntraFestiveEdit"/>
    <n v="7.6867995018679955E-4"/>
  </r>
  <r>
    <s v="P036"/>
    <x v="0"/>
    <s v="2025-04-19"/>
    <x v="0"/>
    <s v="Explore the latest story on Myntra! Trendy styles await."/>
    <n v="4518"/>
    <n v="285"/>
    <n v="383"/>
    <n v="67770"/>
    <n v="67621"/>
    <n v="31"/>
    <x v="5"/>
    <s v="EndOfSeasonSale"/>
    <n v="7.6523535487678916E-4"/>
  </r>
  <r>
    <s v="P002"/>
    <x v="1"/>
    <s v="2025-04-03"/>
    <x v="5"/>
    <s v="Explore the latest text on Myntra! Trendy styles await."/>
    <n v="4054"/>
    <n v="389"/>
    <n v="493"/>
    <n v="64864"/>
    <n v="64383"/>
    <n v="117"/>
    <x v="5"/>
    <s v="EndOfSeasonSale"/>
    <n v="7.6097681302417371E-4"/>
  </r>
  <r>
    <s v="P234"/>
    <x v="3"/>
    <s v="2024-06-01"/>
    <x v="5"/>
    <s v="Explore the latest text on Myntra! Trendy styles await."/>
    <n v="1272"/>
    <n v="465"/>
    <n v="99"/>
    <n v="24168"/>
    <n v="23719"/>
    <n v="42"/>
    <x v="3"/>
    <s v="EndOfSeasonSale"/>
    <n v="7.59682224428997E-4"/>
  </r>
  <r>
    <s v="P013"/>
    <x v="2"/>
    <s v="2024-11-18"/>
    <x v="3"/>
    <s v="Explore the latest carousel on Myntra! Trendy styles await."/>
    <n v="1171"/>
    <n v="286"/>
    <n v="231"/>
    <n v="22249"/>
    <n v="21282"/>
    <n v="114"/>
    <x v="5"/>
    <s v="StyleRevolution"/>
    <n v="7.5868578363072492E-4"/>
  </r>
  <r>
    <s v="P016"/>
    <x v="3"/>
    <s v="2024-08-26"/>
    <x v="5"/>
    <s v="Explore the latest text on Myntra! Trendy styles await."/>
    <n v="3452"/>
    <n v="377"/>
    <n v="360"/>
    <n v="55232"/>
    <n v="55075"/>
    <n v="87"/>
    <x v="3"/>
    <s v="MyntraFestiveEdit"/>
    <n v="7.5843713789107761E-4"/>
  </r>
  <r>
    <s v="P179"/>
    <x v="3"/>
    <s v="2024-07-15"/>
    <x v="3"/>
    <s v="Explore the latest carousel on Myntra! Trendy styles await."/>
    <n v="3796"/>
    <n v="667"/>
    <n v="395"/>
    <n v="64532"/>
    <n v="63550"/>
    <n v="292"/>
    <x v="5"/>
    <s v="FashionUpgrade"/>
    <n v="7.5280481001673591E-4"/>
  </r>
  <r>
    <s v="P045"/>
    <x v="3"/>
    <s v="2024-11-01"/>
    <x v="2"/>
    <s v="Explore the latest video on Myntra! Trendy styles await."/>
    <n v="3371"/>
    <n v="106"/>
    <n v="327"/>
    <n v="50565"/>
    <n v="49816"/>
    <n v="176"/>
    <x v="5"/>
    <s v="StyleRevolution"/>
    <n v="7.5229902106199937E-4"/>
  </r>
  <r>
    <s v="P168"/>
    <x v="3"/>
    <s v="2024-11-12"/>
    <x v="5"/>
    <s v="Explore the latest text on Myntra! Trendy styles await."/>
    <n v="2418"/>
    <n v="754"/>
    <n v="54"/>
    <n v="43524"/>
    <n v="42743"/>
    <n v="182"/>
    <x v="4"/>
    <s v="StyleRevolution"/>
    <n v="7.4120025732928962E-4"/>
  </r>
  <r>
    <s v="P111"/>
    <x v="2"/>
    <s v="2024-11-23"/>
    <x v="4"/>
    <s v="Explore the latest image on Myntra! Trendy styles await."/>
    <n v="2719"/>
    <n v="17"/>
    <n v="285"/>
    <n v="40785"/>
    <n v="40281"/>
    <n v="40"/>
    <x v="0"/>
    <s v="MyntraFestiveEdit"/>
    <n v="7.4071349760941531E-4"/>
  </r>
  <r>
    <s v="P101"/>
    <x v="2"/>
    <s v="2024-10-18"/>
    <x v="2"/>
    <s v="Explore the latest video on Myntra! Trendy styles await."/>
    <n v="4450"/>
    <n v="983"/>
    <n v="143"/>
    <n v="75650"/>
    <n v="75008"/>
    <n v="12"/>
    <x v="0"/>
    <s v="EndOfSeasonSale"/>
    <n v="7.3707865168539332E-4"/>
  </r>
  <r>
    <s v="P048"/>
    <x v="1"/>
    <s v="2025-03-11"/>
    <x v="0"/>
    <s v="Explore the latest story on Myntra! Trendy styles await."/>
    <n v="1950"/>
    <n v="295"/>
    <n v="478"/>
    <n v="37050"/>
    <n v="36272"/>
    <n v="119"/>
    <x v="0"/>
    <s v="StyleRevolution"/>
    <n v="7.3495276653171395E-4"/>
  </r>
  <r>
    <s v="P250"/>
    <x v="3"/>
    <s v="2024-06-22"/>
    <x v="1"/>
    <s v="Explore the latest reel on Myntra! Trendy styles await."/>
    <n v="3813"/>
    <n v="935"/>
    <n v="274"/>
    <n v="68634"/>
    <n v="68488"/>
    <n v="251"/>
    <x v="4"/>
    <s v="FashionUpgrade"/>
    <n v="7.3170731707317073E-4"/>
  </r>
  <r>
    <s v="P289"/>
    <x v="3"/>
    <s v="2024-11-28"/>
    <x v="3"/>
    <s v="Explore the latest carousel on Myntra! Trendy styles await."/>
    <n v="2751"/>
    <n v="33"/>
    <n v="430"/>
    <n v="44016"/>
    <n v="43415"/>
    <n v="129"/>
    <x v="0"/>
    <s v="EndOfSeasonSale"/>
    <n v="7.3018902217375503E-4"/>
  </r>
  <r>
    <s v="P233"/>
    <x v="3"/>
    <s v="2025-03-08"/>
    <x v="4"/>
    <s v="Explore the latest image on Myntra! Trendy styles await."/>
    <n v="2382"/>
    <n v="265"/>
    <n v="134"/>
    <n v="38112"/>
    <n v="37437"/>
    <n v="249"/>
    <x v="4"/>
    <s v="EndOfSeasonSale"/>
    <n v="7.2969143576826195E-4"/>
  </r>
  <r>
    <s v="P172"/>
    <x v="3"/>
    <s v="2024-08-14"/>
    <x v="3"/>
    <s v="Explore the latest carousel on Myntra! Trendy styles await."/>
    <n v="3073"/>
    <n v="553"/>
    <n v="174"/>
    <n v="52241"/>
    <n v="51605"/>
    <n v="246"/>
    <x v="0"/>
    <s v="StyleRevolution"/>
    <n v="7.2739802071170164E-4"/>
  </r>
  <r>
    <s v="P238"/>
    <x v="1"/>
    <s v="2024-07-16"/>
    <x v="5"/>
    <s v="Explore the latest text on Myntra! Trendy styles await."/>
    <n v="4725"/>
    <n v="400"/>
    <n v="362"/>
    <n v="75600"/>
    <n v="74927"/>
    <n v="43"/>
    <x v="2"/>
    <s v="FashionUpgrade"/>
    <n v="7.2579365079365082E-4"/>
  </r>
  <r>
    <s v="P189"/>
    <x v="3"/>
    <s v="2025-03-24"/>
    <x v="1"/>
    <s v="Explore the latest reel on Myntra! Trendy styles await."/>
    <n v="3360"/>
    <n v="525"/>
    <n v="500"/>
    <n v="60480"/>
    <n v="59610"/>
    <n v="192"/>
    <x v="0"/>
    <s v="FashionUpgrade"/>
    <n v="7.2503306878306879E-4"/>
  </r>
  <r>
    <s v="P039"/>
    <x v="3"/>
    <s v="2024-11-25"/>
    <x v="4"/>
    <s v="Explore the latest image on Myntra! Trendy styles await."/>
    <n v="3564"/>
    <n v="629"/>
    <n v="177"/>
    <n v="60588"/>
    <n v="59627"/>
    <n v="92"/>
    <x v="1"/>
    <s v="MyntraFestiveEdit"/>
    <n v="7.2126493695121138E-4"/>
  </r>
  <r>
    <s v="P215"/>
    <x v="3"/>
    <s v="2025-05-06"/>
    <x v="4"/>
    <s v="Explore the latest image on Myntra! Trendy styles await."/>
    <n v="4872"/>
    <n v="925"/>
    <n v="176"/>
    <n v="82824"/>
    <n v="82543"/>
    <n v="89"/>
    <x v="4"/>
    <s v="FashionUpgrade"/>
    <n v="7.211677774558099E-4"/>
  </r>
  <r>
    <s v="P024"/>
    <x v="3"/>
    <s v="2025-01-23"/>
    <x v="2"/>
    <s v="Explore the latest video on Myntra! Trendy styles await."/>
    <n v="3961"/>
    <n v="761"/>
    <n v="131"/>
    <n v="67337"/>
    <n v="66615"/>
    <n v="161"/>
    <x v="5"/>
    <s v="EndOfSeasonSale"/>
    <n v="7.2070332803659209E-4"/>
  </r>
  <r>
    <s v="P099"/>
    <x v="2"/>
    <s v="2024-07-02"/>
    <x v="3"/>
    <s v="Explore the latest carousel on Myntra! Trendy styles await."/>
    <n v="4171"/>
    <n v="548"/>
    <n v="86"/>
    <n v="66736"/>
    <n v="66634"/>
    <n v="173"/>
    <x v="5"/>
    <s v="MyntraFestiveEdit"/>
    <n v="7.2000119875329654E-4"/>
  </r>
  <r>
    <s v="P010"/>
    <x v="3"/>
    <s v="2025-03-11"/>
    <x v="4"/>
    <s v="Explore the latest image on Myntra! Trendy styles await."/>
    <n v="4241"/>
    <n v="902"/>
    <n v="47"/>
    <n v="72097"/>
    <n v="71598"/>
    <n v="167"/>
    <x v="5"/>
    <s v="StyleRevolution"/>
    <n v="7.1986351720598643E-4"/>
  </r>
  <r>
    <s v="P291"/>
    <x v="3"/>
    <s v="2024-11-06"/>
    <x v="2"/>
    <s v="Explore the latest video on Myntra! Trendy styles await."/>
    <n v="4663"/>
    <n v="145"/>
    <n v="225"/>
    <n v="69945"/>
    <n v="69596"/>
    <n v="35"/>
    <x v="5"/>
    <s v="EndOfSeasonSale"/>
    <n v="7.1956537279290866E-4"/>
  </r>
  <r>
    <s v="P133"/>
    <x v="3"/>
    <s v="2025-02-06"/>
    <x v="4"/>
    <s v="Explore the latest image on Myntra! Trendy styles await."/>
    <n v="2072"/>
    <n v="532"/>
    <n v="71"/>
    <n v="37296"/>
    <n v="36467"/>
    <n v="25"/>
    <x v="5"/>
    <s v="MyntraFestiveEdit"/>
    <n v="7.1723509223509227E-4"/>
  </r>
  <r>
    <s v="P027"/>
    <x v="2"/>
    <s v="2024-09-17"/>
    <x v="5"/>
    <s v="Explore the latest text on Myntra! Trendy styles await."/>
    <n v="2076"/>
    <n v="195"/>
    <n v="104"/>
    <n v="33216"/>
    <n v="32244"/>
    <n v="51"/>
    <x v="5"/>
    <s v="StyleRevolution"/>
    <n v="7.1501685934489403E-4"/>
  </r>
  <r>
    <s v="P134"/>
    <x v="1"/>
    <s v="2025-04-24"/>
    <x v="1"/>
    <s v="Explore the latest reel on Myntra! Trendy styles await."/>
    <n v="3731"/>
    <n v="115"/>
    <n v="135"/>
    <n v="55965"/>
    <n v="55436"/>
    <n v="103"/>
    <x v="5"/>
    <s v="StyleRevolution"/>
    <n v="7.113374430447601E-4"/>
  </r>
  <r>
    <s v="P090"/>
    <x v="0"/>
    <s v="2024-06-03"/>
    <x v="4"/>
    <s v="Explore the latest image on Myntra! Trendy styles await."/>
    <n v="3861"/>
    <n v="960"/>
    <n v="101"/>
    <n v="69498"/>
    <n v="68817"/>
    <n v="297"/>
    <x v="5"/>
    <s v="EndOfSeasonSale"/>
    <n v="7.0822181933293037E-4"/>
  </r>
  <r>
    <s v="P034"/>
    <x v="3"/>
    <s v="2025-03-26"/>
    <x v="5"/>
    <s v="Explore the latest text on Myntra! Trendy styles await."/>
    <n v="1652"/>
    <n v="89"/>
    <n v="357"/>
    <n v="29736"/>
    <n v="28771"/>
    <n v="215"/>
    <x v="3"/>
    <s v="EndOfSeasonSale"/>
    <n v="7.0554210384718864E-4"/>
  </r>
  <r>
    <s v="P007"/>
    <x v="1"/>
    <s v="2024-06-24"/>
    <x v="3"/>
    <s v="Explore the latest carousel on Myntra! Trendy styles await."/>
    <n v="3860"/>
    <n v="201"/>
    <n v="279"/>
    <n v="61760"/>
    <n v="61660"/>
    <n v="235"/>
    <x v="5"/>
    <s v="MyntraFestiveEdit"/>
    <n v="7.0272020725388603E-4"/>
  </r>
  <r>
    <s v="P142"/>
    <x v="2"/>
    <s v="2025-03-25"/>
    <x v="0"/>
    <s v="Explore the latest story on Myntra! Trendy styles await."/>
    <n v="2070"/>
    <n v="275"/>
    <n v="386"/>
    <n v="39330"/>
    <n v="38627"/>
    <n v="114"/>
    <x v="5"/>
    <s v="StyleRevolution"/>
    <n v="6.9438087973557083E-4"/>
  </r>
  <r>
    <s v="P127"/>
    <x v="3"/>
    <s v="2025-01-27"/>
    <x v="1"/>
    <s v="Explore the latest reel on Myntra! Trendy styles await."/>
    <n v="3452"/>
    <n v="652"/>
    <n v="442"/>
    <n v="65588"/>
    <n v="65049"/>
    <n v="158"/>
    <x v="0"/>
    <s v="FashionUpgrade"/>
    <n v="6.9311459413307313E-4"/>
  </r>
  <r>
    <s v="P170"/>
    <x v="1"/>
    <s v="2025-04-28"/>
    <x v="5"/>
    <s v="Explore the latest text on Myntra! Trendy styles await."/>
    <n v="3577"/>
    <n v="596"/>
    <n v="493"/>
    <n v="67963"/>
    <n v="67839"/>
    <n v="53"/>
    <x v="4"/>
    <s v="StyleRevolution"/>
    <n v="6.8655003457763781E-4"/>
  </r>
  <r>
    <s v="P095"/>
    <x v="0"/>
    <s v="2024-11-08"/>
    <x v="5"/>
    <s v="Explore the latest text on Myntra! Trendy styles await."/>
    <n v="3182"/>
    <n v="559"/>
    <n v="160"/>
    <n v="57276"/>
    <n v="56890"/>
    <n v="163"/>
    <x v="4"/>
    <s v="EndOfSeasonSale"/>
    <n v="6.8108806480899513E-4"/>
  </r>
  <r>
    <s v="P288"/>
    <x v="2"/>
    <s v="2025-04-17"/>
    <x v="3"/>
    <s v="Explore the latest carousel on Myntra! Trendy styles await."/>
    <n v="4780"/>
    <n v="691"/>
    <n v="380"/>
    <n v="86040"/>
    <n v="85743"/>
    <n v="262"/>
    <x v="3"/>
    <s v="MyntraFestiveEdit"/>
    <n v="6.8003254300325435E-4"/>
  </r>
  <r>
    <s v="P237"/>
    <x v="0"/>
    <s v="2024-10-22"/>
    <x v="0"/>
    <s v="Explore the latest story on Myntra! Trendy styles await."/>
    <n v="3770"/>
    <n v="917"/>
    <n v="129"/>
    <n v="71630"/>
    <n v="71322"/>
    <n v="76"/>
    <x v="4"/>
    <s v="StyleRevolution"/>
    <n v="6.7234398994834568E-4"/>
  </r>
  <r>
    <s v="P270"/>
    <x v="2"/>
    <s v="2025-01-15"/>
    <x v="1"/>
    <s v="Explore the latest reel on Myntra! Trendy styles await."/>
    <n v="3774"/>
    <n v="239"/>
    <n v="39"/>
    <n v="60384"/>
    <n v="59490"/>
    <n v="241"/>
    <x v="5"/>
    <s v="MyntraFestiveEdit"/>
    <n v="6.7103868574456811E-4"/>
  </r>
  <r>
    <s v="P005"/>
    <x v="2"/>
    <s v="2024-06-26"/>
    <x v="1"/>
    <s v="Explore the latest reel on Myntra! Trendy styles await."/>
    <n v="3557"/>
    <n v="687"/>
    <n v="424"/>
    <n v="71140"/>
    <n v="70701"/>
    <n v="224"/>
    <x v="2"/>
    <s v="MyntraFestiveEdit"/>
    <n v="6.561709305594603E-4"/>
  </r>
  <r>
    <s v="P086"/>
    <x v="2"/>
    <s v="2025-01-27"/>
    <x v="5"/>
    <s v="Explore the latest text on Myntra! Trendy styles await."/>
    <n v="3428"/>
    <n v="305"/>
    <n v="85"/>
    <n v="58276"/>
    <n v="58052"/>
    <n v="242"/>
    <x v="0"/>
    <s v="MyntraFestiveEdit"/>
    <n v="6.5515821264328371E-4"/>
  </r>
  <r>
    <s v="P144"/>
    <x v="2"/>
    <s v="2024-10-28"/>
    <x v="0"/>
    <s v="Explore the latest story on Myntra! Trendy styles await."/>
    <n v="4929"/>
    <n v="749"/>
    <n v="452"/>
    <n v="93651"/>
    <n v="92810"/>
    <n v="66"/>
    <x v="0"/>
    <s v="FashionUpgrade"/>
    <n v="6.5455787978772244E-4"/>
  </r>
  <r>
    <s v="P197"/>
    <x v="1"/>
    <s v="2024-10-22"/>
    <x v="1"/>
    <s v="Explore the latest reel on Myntra! Trendy styles await."/>
    <n v="4782"/>
    <n v="721"/>
    <n v="82"/>
    <n v="86076"/>
    <n v="85339"/>
    <n v="19"/>
    <x v="5"/>
    <s v="EndOfSeasonSale"/>
    <n v="6.4884520656164322E-4"/>
  </r>
  <r>
    <s v="P135"/>
    <x v="3"/>
    <s v="2024-11-28"/>
    <x v="5"/>
    <s v="Explore the latest text on Myntra! Trendy styles await."/>
    <n v="4213"/>
    <n v="253"/>
    <n v="434"/>
    <n v="75834"/>
    <n v="75437"/>
    <n v="272"/>
    <x v="5"/>
    <s v="MyntraFestiveEdit"/>
    <n v="6.461481657304112E-4"/>
  </r>
  <r>
    <s v="P073"/>
    <x v="3"/>
    <s v="2024-10-18"/>
    <x v="0"/>
    <s v="Explore the latest story on Myntra! Trendy styles await."/>
    <n v="4126"/>
    <n v="426"/>
    <n v="486"/>
    <n v="78394"/>
    <n v="77798"/>
    <n v="88"/>
    <x v="5"/>
    <s v="FashionUpgrade"/>
    <n v="6.4265122330790629E-4"/>
  </r>
  <r>
    <s v="P267"/>
    <x v="1"/>
    <s v="2024-10-04"/>
    <x v="1"/>
    <s v="Explore the latest reel on Myntra! Trendy styles await."/>
    <n v="4187"/>
    <n v="66"/>
    <n v="31"/>
    <n v="66992"/>
    <n v="66614"/>
    <n v="62"/>
    <x v="5"/>
    <s v="StyleRevolution"/>
    <n v="6.3947934081681399E-4"/>
  </r>
  <r>
    <s v="P020"/>
    <x v="0"/>
    <s v="2024-09-09"/>
    <x v="3"/>
    <s v="Explore the latest carousel on Myntra! Trendy styles await."/>
    <n v="4054"/>
    <n v="488"/>
    <n v="373"/>
    <n v="77026"/>
    <n v="76881"/>
    <n v="25"/>
    <x v="1"/>
    <s v="MyntraFestiveEdit"/>
    <n v="6.3809622724794225E-4"/>
  </r>
  <r>
    <s v="P067"/>
    <x v="3"/>
    <s v="2025-03-29"/>
    <x v="3"/>
    <s v="Explore the latest carousel on Myntra! Trendy styles await."/>
    <n v="4712"/>
    <n v="568"/>
    <n v="127"/>
    <n v="84816"/>
    <n v="84691"/>
    <n v="100"/>
    <x v="5"/>
    <s v="FashionUpgrade"/>
    <n v="6.3749764195434818E-4"/>
  </r>
  <r>
    <s v="P150"/>
    <x v="2"/>
    <s v="2024-08-22"/>
    <x v="3"/>
    <s v="Explore the latest carousel on Myntra! Trendy styles await."/>
    <n v="4295"/>
    <n v="853"/>
    <n v="325"/>
    <n v="85900"/>
    <n v="85788"/>
    <n v="290"/>
    <x v="1"/>
    <s v="EndOfSeasonSale"/>
    <n v="6.3713620488940617E-4"/>
  </r>
  <r>
    <s v="P281"/>
    <x v="2"/>
    <s v="2025-03-22"/>
    <x v="4"/>
    <s v="Explore the latest image on Myntra! Trendy styles await."/>
    <n v="3166"/>
    <n v="90"/>
    <n v="341"/>
    <n v="56988"/>
    <n v="56125"/>
    <n v="135"/>
    <x v="0"/>
    <s v="EndOfSeasonSale"/>
    <n v="6.3118551273952416E-4"/>
  </r>
  <r>
    <s v="P217"/>
    <x v="3"/>
    <s v="2024-12-03"/>
    <x v="4"/>
    <s v="Explore the latest image on Myntra! Trendy styles await."/>
    <n v="4606"/>
    <n v="931"/>
    <n v="230"/>
    <n v="92120"/>
    <n v="91440"/>
    <n v="56"/>
    <x v="2"/>
    <s v="MyntraFestiveEdit"/>
    <n v="6.2603126356925744E-4"/>
  </r>
  <r>
    <s v="P200"/>
    <x v="3"/>
    <s v="2025-04-07"/>
    <x v="1"/>
    <s v="Explore the latest reel on Myntra! Trendy styles await."/>
    <n v="3718"/>
    <n v="385"/>
    <n v="310"/>
    <n v="70642"/>
    <n v="69749"/>
    <n v="233"/>
    <x v="5"/>
    <s v="FashionUpgrade"/>
    <n v="6.2469918745222393E-4"/>
  </r>
  <r>
    <s v="P107"/>
    <x v="2"/>
    <s v="2024-06-21"/>
    <x v="4"/>
    <s v="Explore the latest image on Myntra! Trendy styles await."/>
    <n v="4832"/>
    <n v="893"/>
    <n v="10"/>
    <n v="91808"/>
    <n v="91296"/>
    <n v="182"/>
    <x v="0"/>
    <s v="MyntraFestiveEdit"/>
    <n v="6.2467323109097238E-4"/>
  </r>
  <r>
    <s v="P115"/>
    <x v="1"/>
    <s v="2025-05-11"/>
    <x v="4"/>
    <s v="Explore the latest image on Myntra! Trendy styles await."/>
    <n v="2493"/>
    <n v="97"/>
    <n v="44"/>
    <n v="42381"/>
    <n v="41991"/>
    <n v="242"/>
    <x v="0"/>
    <s v="FashionUpgrade"/>
    <n v="6.2150491965739369E-4"/>
  </r>
  <r>
    <s v="P223"/>
    <x v="1"/>
    <s v="2024-11-12"/>
    <x v="4"/>
    <s v="Explore the latest image on Myntra! Trendy styles await."/>
    <n v="3338"/>
    <n v="277"/>
    <n v="118"/>
    <n v="60084"/>
    <n v="59842"/>
    <n v="252"/>
    <x v="5"/>
    <s v="FashionUpgrade"/>
    <n v="6.2129685107516143E-4"/>
  </r>
  <r>
    <s v="P279"/>
    <x v="2"/>
    <s v="2024-09-02"/>
    <x v="4"/>
    <s v="Explore the latest image on Myntra! Trendy styles await."/>
    <n v="4905"/>
    <n v="845"/>
    <n v="129"/>
    <n v="98100"/>
    <n v="97772"/>
    <n v="279"/>
    <x v="5"/>
    <s v="StyleRevolution"/>
    <n v="5.992864424057084E-4"/>
  </r>
  <r>
    <s v="P025"/>
    <x v="1"/>
    <s v="2025-04-10"/>
    <x v="3"/>
    <s v="Explore the latest carousel on Myntra! Trendy styles await."/>
    <n v="3128"/>
    <n v="211"/>
    <n v="197"/>
    <n v="59432"/>
    <n v="59182"/>
    <n v="238"/>
    <x v="1"/>
    <s v="FashionUpgrade"/>
    <n v="5.949656750572083E-4"/>
  </r>
  <r>
    <s v="P015"/>
    <x v="3"/>
    <s v="2024-10-24"/>
    <x v="2"/>
    <s v="Explore the latest video on Myntra! Trendy styles await."/>
    <n v="3888"/>
    <n v="604"/>
    <n v="128"/>
    <n v="77760"/>
    <n v="77167"/>
    <n v="20"/>
    <x v="3"/>
    <s v="FashionUpgrade"/>
    <n v="5.9413580246913582E-4"/>
  </r>
  <r>
    <s v="P296"/>
    <x v="1"/>
    <s v="2025-02-11"/>
    <x v="2"/>
    <s v="Explore the latest video on Myntra! Trendy styles await."/>
    <n v="3440"/>
    <n v="13"/>
    <n v="20"/>
    <n v="58480"/>
    <n v="58146"/>
    <n v="210"/>
    <x v="3"/>
    <s v="FashionUpgrade"/>
    <n v="5.9387824897400823E-4"/>
  </r>
  <r>
    <s v="P298"/>
    <x v="3"/>
    <s v="2024-10-24"/>
    <x v="4"/>
    <s v="Explore the latest image on Myntra! Trendy styles await."/>
    <n v="4303"/>
    <n v="451"/>
    <n v="286"/>
    <n v="86060"/>
    <n v="85823"/>
    <n v="14"/>
    <x v="5"/>
    <s v="EndOfSeasonSale"/>
    <n v="5.8563792702765512E-4"/>
  </r>
  <r>
    <s v="P216"/>
    <x v="2"/>
    <s v="2024-07-29"/>
    <x v="0"/>
    <s v="Explore the latest story on Myntra! Trendy styles await."/>
    <n v="1509"/>
    <n v="88"/>
    <n v="163"/>
    <n v="30180"/>
    <n v="29689"/>
    <n v="119"/>
    <x v="5"/>
    <s v="FashionUpgrade"/>
    <n v="5.8316766070245195E-4"/>
  </r>
  <r>
    <s v="P283"/>
    <x v="1"/>
    <s v="2025-05-09"/>
    <x v="1"/>
    <s v="Explore the latest reel on Myntra! Trendy styles await."/>
    <n v="3367"/>
    <n v="302"/>
    <n v="57"/>
    <n v="63973"/>
    <n v="63789"/>
    <n v="157"/>
    <x v="2"/>
    <s v="MyntraFestiveEdit"/>
    <n v="5.8243321401216133E-4"/>
  </r>
  <r>
    <s v="P256"/>
    <x v="2"/>
    <s v="2024-09-18"/>
    <x v="3"/>
    <s v="Explore the latest carousel on Myntra! Trendy styles await."/>
    <n v="2143"/>
    <n v="12"/>
    <n v="204"/>
    <n v="40717"/>
    <n v="40125"/>
    <n v="248"/>
    <x v="1"/>
    <s v="StyleRevolution"/>
    <n v="5.7936488444630012E-4"/>
  </r>
  <r>
    <s v="P030"/>
    <x v="0"/>
    <s v="2025-02-25"/>
    <x v="2"/>
    <s v="Explore the latest video on Myntra! Trendy styles await."/>
    <n v="3095"/>
    <n v="39"/>
    <n v="78"/>
    <n v="55710"/>
    <n v="54808"/>
    <n v="93"/>
    <x v="5"/>
    <s v="StyleRevolution"/>
    <n v="5.7655717106444083E-4"/>
  </r>
  <r>
    <s v="P203"/>
    <x v="0"/>
    <s v="2024-11-21"/>
    <x v="3"/>
    <s v="Explore the latest carousel on Myntra! Trendy styles await."/>
    <n v="3773"/>
    <n v="299"/>
    <n v="38"/>
    <n v="71687"/>
    <n v="71447"/>
    <n v="286"/>
    <x v="5"/>
    <s v="StyleRevolution"/>
    <n v="5.7332570758993962E-4"/>
  </r>
  <r>
    <s v="P225"/>
    <x v="1"/>
    <s v="2024-06-20"/>
    <x v="3"/>
    <s v="Explore the latest carousel on Myntra! Trendy styles await."/>
    <n v="4672"/>
    <n v="325"/>
    <n v="32"/>
    <n v="88768"/>
    <n v="87833"/>
    <n v="118"/>
    <x v="1"/>
    <s v="MyntraFestiveEdit"/>
    <n v="5.6653298485940878E-4"/>
  </r>
  <r>
    <s v="P145"/>
    <x v="0"/>
    <s v="2024-08-12"/>
    <x v="3"/>
    <s v="Explore the latest carousel on Myntra! Trendy styles await."/>
    <n v="1878"/>
    <n v="62"/>
    <n v="179"/>
    <n v="37560"/>
    <n v="36874"/>
    <n v="142"/>
    <x v="4"/>
    <s v="FashionUpgrade"/>
    <n v="5.6416400425985096E-4"/>
  </r>
  <r>
    <s v="P190"/>
    <x v="2"/>
    <s v="2024-10-04"/>
    <x v="5"/>
    <s v="Explore the latest text on Myntra! Trendy styles await."/>
    <n v="1963"/>
    <n v="213"/>
    <n v="19"/>
    <n v="39260"/>
    <n v="38771"/>
    <n v="145"/>
    <x v="5"/>
    <s v="FashionUpgrade"/>
    <n v="5.5909322465613862E-4"/>
  </r>
  <r>
    <s v="P003"/>
    <x v="2"/>
    <s v="2025-05-12"/>
    <x v="1"/>
    <s v="Explore the latest reel on Myntra! Trendy styles await."/>
    <n v="2795"/>
    <n v="105"/>
    <n v="49"/>
    <n v="53105"/>
    <n v="52307"/>
    <n v="204"/>
    <x v="1"/>
    <s v="FashionUpgrade"/>
    <n v="5.5531494209584784E-4"/>
  </r>
  <r>
    <s v="P176"/>
    <x v="3"/>
    <s v="2024-06-20"/>
    <x v="2"/>
    <s v="Explore the latest video on Myntra! Trendy styles await."/>
    <n v="3798"/>
    <n v="31"/>
    <n v="279"/>
    <n v="75960"/>
    <n v="75813"/>
    <n v="266"/>
    <x v="5"/>
    <s v="EndOfSeasonSale"/>
    <n v="5.4081095313322802E-4"/>
  </r>
  <r>
    <s v="P063"/>
    <x v="1"/>
    <s v="2024-07-31"/>
    <x v="3"/>
    <s v="Explore the latest carousel on Myntra! Trendy styles await."/>
    <n v="4507"/>
    <n v="217"/>
    <n v="13"/>
    <n v="90140"/>
    <n v="89591"/>
    <n v="125"/>
    <x v="5"/>
    <s v="FashionUpgrade"/>
    <n v="5.2551586421122694E-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1135"/>
    <n v="88"/>
    <x v="0"/>
    <n v="8.06"/>
    <n v="5904"/>
    <x v="0"/>
    <x v="0"/>
  </r>
  <r>
    <x v="0"/>
    <x v="1"/>
    <n v="1312"/>
    <n v="310"/>
    <x v="1"/>
    <n v="4.9800000000000004"/>
    <n v="9566"/>
    <x v="1"/>
    <x v="1"/>
  </r>
  <r>
    <x v="0"/>
    <x v="2"/>
    <n v="584"/>
    <n v="169"/>
    <x v="2"/>
    <n v="8.31"/>
    <n v="26752"/>
    <x v="2"/>
    <x v="2"/>
  </r>
  <r>
    <x v="0"/>
    <x v="3"/>
    <n v="1535"/>
    <n v="445"/>
    <x v="3"/>
    <n v="4.1100000000000003"/>
    <n v="30671"/>
    <x v="3"/>
    <x v="3"/>
  </r>
  <r>
    <x v="1"/>
    <x v="0"/>
    <n v="656"/>
    <n v="139"/>
    <x v="4"/>
    <n v="9.0500000000000007"/>
    <n v="9920"/>
    <x v="4"/>
    <x v="4"/>
  </r>
  <r>
    <x v="1"/>
    <x v="1"/>
    <n v="1697"/>
    <n v="414"/>
    <x v="5"/>
    <n v="2.37"/>
    <n v="7924"/>
    <x v="5"/>
    <x v="5"/>
  </r>
  <r>
    <x v="1"/>
    <x v="2"/>
    <n v="436"/>
    <n v="250"/>
    <x v="6"/>
    <n v="4.01"/>
    <n v="8912"/>
    <x v="6"/>
    <x v="6"/>
  </r>
  <r>
    <x v="1"/>
    <x v="3"/>
    <n v="1197"/>
    <n v="203"/>
    <x v="7"/>
    <n v="3.16"/>
    <n v="21205"/>
    <x v="7"/>
    <x v="7"/>
  </r>
  <r>
    <x v="2"/>
    <x v="0"/>
    <n v="1048"/>
    <n v="155"/>
    <x v="8"/>
    <n v="2.46"/>
    <n v="11329"/>
    <x v="8"/>
    <x v="8"/>
  </r>
  <r>
    <x v="2"/>
    <x v="1"/>
    <n v="1753"/>
    <n v="371"/>
    <x v="9"/>
    <n v="8.11"/>
    <n v="46670"/>
    <x v="9"/>
    <x v="9"/>
  </r>
  <r>
    <x v="2"/>
    <x v="2"/>
    <n v="1335"/>
    <n v="40"/>
    <x v="10"/>
    <n v="8.19"/>
    <n v="22482"/>
    <x v="10"/>
    <x v="10"/>
  </r>
  <r>
    <x v="2"/>
    <x v="3"/>
    <n v="403"/>
    <n v="66"/>
    <x v="11"/>
    <n v="3.49"/>
    <n v="24313"/>
    <x v="11"/>
    <x v="11"/>
  </r>
  <r>
    <x v="3"/>
    <x v="0"/>
    <n v="911"/>
    <n v="282"/>
    <x v="12"/>
    <n v="6.92"/>
    <n v="18050"/>
    <x v="12"/>
    <x v="12"/>
  </r>
  <r>
    <x v="3"/>
    <x v="1"/>
    <n v="1779"/>
    <n v="109"/>
    <x v="13"/>
    <n v="9.1199999999999992"/>
    <n v="30635"/>
    <x v="13"/>
    <x v="13"/>
  </r>
  <r>
    <x v="3"/>
    <x v="2"/>
    <n v="1238"/>
    <n v="403"/>
    <x v="14"/>
    <n v="3.5"/>
    <n v="31280"/>
    <x v="14"/>
    <x v="14"/>
  </r>
  <r>
    <x v="3"/>
    <x v="3"/>
    <n v="308"/>
    <n v="431"/>
    <x v="15"/>
    <n v="2.62"/>
    <n v="1783"/>
    <x v="15"/>
    <x v="15"/>
  </r>
  <r>
    <x v="4"/>
    <x v="0"/>
    <n v="226"/>
    <n v="445"/>
    <x v="16"/>
    <n v="9.36"/>
    <n v="9566"/>
    <x v="16"/>
    <x v="16"/>
  </r>
  <r>
    <x v="4"/>
    <x v="1"/>
    <n v="505"/>
    <n v="441"/>
    <x v="17"/>
    <n v="4.4800000000000004"/>
    <n v="42307"/>
    <x v="17"/>
    <x v="17"/>
  </r>
  <r>
    <x v="4"/>
    <x v="2"/>
    <n v="1420"/>
    <n v="63"/>
    <x v="18"/>
    <n v="6.19"/>
    <n v="5914"/>
    <x v="18"/>
    <x v="18"/>
  </r>
  <r>
    <x v="4"/>
    <x v="3"/>
    <n v="144"/>
    <n v="53"/>
    <x v="19"/>
    <n v="8.7200000000000006"/>
    <n v="30060"/>
    <x v="19"/>
    <x v="19"/>
  </r>
  <r>
    <x v="5"/>
    <x v="0"/>
    <n v="1757"/>
    <n v="85"/>
    <x v="20"/>
    <n v="8.74"/>
    <n v="22728"/>
    <x v="20"/>
    <x v="20"/>
  </r>
  <r>
    <x v="5"/>
    <x v="1"/>
    <n v="350"/>
    <n v="41"/>
    <x v="21"/>
    <n v="1.91"/>
    <n v="38610"/>
    <x v="21"/>
    <x v="21"/>
  </r>
  <r>
    <x v="5"/>
    <x v="2"/>
    <n v="987"/>
    <n v="440"/>
    <x v="22"/>
    <n v="4.66"/>
    <n v="2932"/>
    <x v="22"/>
    <x v="22"/>
  </r>
  <r>
    <x v="5"/>
    <x v="3"/>
    <n v="883"/>
    <n v="369"/>
    <x v="23"/>
    <n v="2.88"/>
    <n v="15071"/>
    <x v="23"/>
    <x v="23"/>
  </r>
  <r>
    <x v="6"/>
    <x v="0"/>
    <n v="1960"/>
    <n v="115"/>
    <x v="24"/>
    <n v="3.74"/>
    <n v="10740"/>
    <x v="24"/>
    <x v="24"/>
  </r>
  <r>
    <x v="6"/>
    <x v="1"/>
    <n v="170"/>
    <n v="334"/>
    <x v="25"/>
    <n v="6.44"/>
    <n v="43420"/>
    <x v="25"/>
    <x v="25"/>
  </r>
  <r>
    <x v="6"/>
    <x v="2"/>
    <n v="704"/>
    <n v="275"/>
    <x v="26"/>
    <n v="8.56"/>
    <n v="32393"/>
    <x v="26"/>
    <x v="26"/>
  </r>
  <r>
    <x v="6"/>
    <x v="3"/>
    <n v="224"/>
    <n v="64"/>
    <x v="27"/>
    <n v="4.5599999999999996"/>
    <n v="28474"/>
    <x v="27"/>
    <x v="27"/>
  </r>
  <r>
    <x v="7"/>
    <x v="0"/>
    <n v="508"/>
    <n v="349"/>
    <x v="28"/>
    <n v="7.88"/>
    <n v="17328"/>
    <x v="28"/>
    <x v="28"/>
  </r>
  <r>
    <x v="7"/>
    <x v="1"/>
    <n v="1391"/>
    <n v="430"/>
    <x v="29"/>
    <n v="7.86"/>
    <n v="26067"/>
    <x v="29"/>
    <x v="29"/>
  </r>
  <r>
    <x v="7"/>
    <x v="2"/>
    <n v="1701"/>
    <n v="385"/>
    <x v="30"/>
    <n v="5.34"/>
    <n v="32763"/>
    <x v="30"/>
    <x v="30"/>
  </r>
  <r>
    <x v="7"/>
    <x v="3"/>
    <n v="804"/>
    <n v="487"/>
    <x v="31"/>
    <n v="5.52"/>
    <n v="26452"/>
    <x v="31"/>
    <x v="31"/>
  </r>
  <r>
    <x v="8"/>
    <x v="0"/>
    <n v="653"/>
    <n v="112"/>
    <x v="32"/>
    <n v="4.05"/>
    <n v="15353"/>
    <x v="32"/>
    <x v="32"/>
  </r>
  <r>
    <x v="8"/>
    <x v="1"/>
    <n v="160"/>
    <n v="478"/>
    <x v="33"/>
    <n v="7.73"/>
    <n v="4839"/>
    <x v="33"/>
    <x v="33"/>
  </r>
  <r>
    <x v="8"/>
    <x v="2"/>
    <n v="1756"/>
    <n v="261"/>
    <x v="34"/>
    <n v="4.3600000000000003"/>
    <n v="39272"/>
    <x v="34"/>
    <x v="34"/>
  </r>
  <r>
    <x v="8"/>
    <x v="3"/>
    <n v="576"/>
    <n v="101"/>
    <x v="35"/>
    <n v="3.48"/>
    <n v="16804"/>
    <x v="35"/>
    <x v="35"/>
  </r>
  <r>
    <x v="9"/>
    <x v="0"/>
    <n v="645"/>
    <n v="293"/>
    <x v="36"/>
    <n v="7.83"/>
    <n v="49303"/>
    <x v="36"/>
    <x v="36"/>
  </r>
  <r>
    <x v="9"/>
    <x v="1"/>
    <n v="214"/>
    <n v="411"/>
    <x v="37"/>
    <n v="6.11"/>
    <n v="26455"/>
    <x v="37"/>
    <x v="37"/>
  </r>
  <r>
    <x v="9"/>
    <x v="2"/>
    <n v="826"/>
    <n v="498"/>
    <x v="38"/>
    <n v="9.43"/>
    <n v="12384"/>
    <x v="38"/>
    <x v="38"/>
  </r>
  <r>
    <x v="9"/>
    <x v="3"/>
    <n v="460"/>
    <n v="141"/>
    <x v="39"/>
    <n v="4.04"/>
    <n v="49372"/>
    <x v="39"/>
    <x v="39"/>
  </r>
  <r>
    <x v="10"/>
    <x v="0"/>
    <n v="1528"/>
    <n v="203"/>
    <x v="40"/>
    <n v="6.23"/>
    <n v="47101"/>
    <x v="40"/>
    <x v="40"/>
  </r>
  <r>
    <x v="10"/>
    <x v="1"/>
    <n v="1534"/>
    <n v="200"/>
    <x v="41"/>
    <n v="6.01"/>
    <n v="37903"/>
    <x v="41"/>
    <x v="41"/>
  </r>
  <r>
    <x v="10"/>
    <x v="2"/>
    <n v="485"/>
    <n v="448"/>
    <x v="42"/>
    <n v="8.5500000000000007"/>
    <n v="33258"/>
    <x v="42"/>
    <x v="42"/>
  </r>
  <r>
    <x v="10"/>
    <x v="3"/>
    <n v="1210"/>
    <n v="178"/>
    <x v="43"/>
    <n v="5.42"/>
    <n v="6915"/>
    <x v="43"/>
    <x v="43"/>
  </r>
  <r>
    <x v="11"/>
    <x v="0"/>
    <n v="215"/>
    <n v="139"/>
    <x v="44"/>
    <n v="3.25"/>
    <n v="35501"/>
    <x v="44"/>
    <x v="44"/>
  </r>
  <r>
    <x v="11"/>
    <x v="1"/>
    <n v="1078"/>
    <n v="20"/>
    <x v="45"/>
    <n v="8.84"/>
    <n v="14203"/>
    <x v="45"/>
    <x v="45"/>
  </r>
  <r>
    <x v="11"/>
    <x v="2"/>
    <n v="1751"/>
    <n v="86"/>
    <x v="46"/>
    <n v="7.24"/>
    <n v="22206"/>
    <x v="46"/>
    <x v="46"/>
  </r>
  <r>
    <x v="11"/>
    <x v="3"/>
    <n v="221"/>
    <n v="31"/>
    <x v="47"/>
    <n v="6.19"/>
    <n v="10283"/>
    <x v="47"/>
    <x v="47"/>
  </r>
  <r>
    <x v="12"/>
    <x v="0"/>
    <n v="1685"/>
    <n v="76"/>
    <x v="48"/>
    <n v="5.71"/>
    <n v="24913"/>
    <x v="48"/>
    <x v="48"/>
  </r>
  <r>
    <x v="12"/>
    <x v="1"/>
    <n v="248"/>
    <n v="211"/>
    <x v="49"/>
    <n v="9.0399999999999991"/>
    <n v="26925"/>
    <x v="42"/>
    <x v="49"/>
  </r>
  <r>
    <x v="12"/>
    <x v="2"/>
    <n v="1300"/>
    <n v="71"/>
    <x v="50"/>
    <n v="3.91"/>
    <n v="9942"/>
    <x v="49"/>
    <x v="50"/>
  </r>
  <r>
    <x v="12"/>
    <x v="3"/>
    <n v="422"/>
    <n v="394"/>
    <x v="51"/>
    <n v="7.83"/>
    <n v="32929"/>
    <x v="50"/>
    <x v="51"/>
  </r>
  <r>
    <x v="13"/>
    <x v="0"/>
    <n v="1429"/>
    <n v="182"/>
    <x v="52"/>
    <n v="7.16"/>
    <n v="37829"/>
    <x v="51"/>
    <x v="52"/>
  </r>
  <r>
    <x v="13"/>
    <x v="1"/>
    <n v="1520"/>
    <n v="475"/>
    <x v="53"/>
    <n v="6.41"/>
    <n v="24384"/>
    <x v="52"/>
    <x v="53"/>
  </r>
  <r>
    <x v="13"/>
    <x v="2"/>
    <n v="557"/>
    <n v="360"/>
    <x v="54"/>
    <n v="8.02"/>
    <n v="25797"/>
    <x v="53"/>
    <x v="54"/>
  </r>
  <r>
    <x v="13"/>
    <x v="3"/>
    <n v="728"/>
    <n v="395"/>
    <x v="55"/>
    <n v="3.86"/>
    <n v="12646"/>
    <x v="54"/>
    <x v="55"/>
  </r>
  <r>
    <x v="14"/>
    <x v="0"/>
    <n v="1592"/>
    <n v="20"/>
    <x v="56"/>
    <n v="9.09"/>
    <n v="26663"/>
    <x v="55"/>
    <x v="56"/>
  </r>
  <r>
    <x v="14"/>
    <x v="1"/>
    <n v="1842"/>
    <n v="414"/>
    <x v="57"/>
    <n v="1.76"/>
    <n v="40478"/>
    <x v="56"/>
    <x v="57"/>
  </r>
  <r>
    <x v="14"/>
    <x v="2"/>
    <n v="751"/>
    <n v="491"/>
    <x v="58"/>
    <n v="9.24"/>
    <n v="15476"/>
    <x v="57"/>
    <x v="58"/>
  </r>
  <r>
    <x v="14"/>
    <x v="3"/>
    <n v="1409"/>
    <n v="309"/>
    <x v="59"/>
    <n v="8.99"/>
    <n v="10217"/>
    <x v="58"/>
    <x v="59"/>
  </r>
  <r>
    <x v="15"/>
    <x v="0"/>
    <n v="778"/>
    <n v="401"/>
    <x v="60"/>
    <n v="3.4"/>
    <n v="21939"/>
    <x v="59"/>
    <x v="60"/>
  </r>
  <r>
    <x v="15"/>
    <x v="1"/>
    <n v="443"/>
    <n v="345"/>
    <x v="61"/>
    <n v="9.1999999999999993"/>
    <n v="47462"/>
    <x v="60"/>
    <x v="61"/>
  </r>
  <r>
    <x v="15"/>
    <x v="2"/>
    <n v="1472"/>
    <n v="347"/>
    <x v="62"/>
    <n v="8.59"/>
    <n v="30270"/>
    <x v="61"/>
    <x v="62"/>
  </r>
  <r>
    <x v="15"/>
    <x v="3"/>
    <n v="123"/>
    <n v="155"/>
    <x v="63"/>
    <n v="3.5"/>
    <n v="5442"/>
    <x v="62"/>
    <x v="63"/>
  </r>
  <r>
    <x v="16"/>
    <x v="0"/>
    <n v="817"/>
    <n v="151"/>
    <x v="64"/>
    <n v="2.36"/>
    <n v="1083"/>
    <x v="63"/>
    <x v="64"/>
  </r>
  <r>
    <x v="16"/>
    <x v="1"/>
    <n v="198"/>
    <n v="217"/>
    <x v="65"/>
    <n v="7.36"/>
    <n v="11901"/>
    <x v="64"/>
    <x v="65"/>
  </r>
  <r>
    <x v="16"/>
    <x v="2"/>
    <n v="1911"/>
    <n v="231"/>
    <x v="66"/>
    <n v="8.5500000000000007"/>
    <n v="24018"/>
    <x v="65"/>
    <x v="66"/>
  </r>
  <r>
    <x v="16"/>
    <x v="3"/>
    <n v="1218"/>
    <n v="212"/>
    <x v="67"/>
    <n v="8.1300000000000008"/>
    <n v="38883"/>
    <x v="66"/>
    <x v="67"/>
  </r>
  <r>
    <x v="17"/>
    <x v="0"/>
    <n v="1433"/>
    <n v="408"/>
    <x v="68"/>
    <n v="3.3"/>
    <n v="30575"/>
    <x v="67"/>
    <x v="68"/>
  </r>
  <r>
    <x v="17"/>
    <x v="1"/>
    <n v="250"/>
    <n v="429"/>
    <x v="69"/>
    <n v="1.77"/>
    <n v="2315"/>
    <x v="68"/>
    <x v="69"/>
  </r>
  <r>
    <x v="17"/>
    <x v="2"/>
    <n v="752"/>
    <n v="153"/>
    <x v="70"/>
    <n v="2.09"/>
    <n v="12148"/>
    <x v="69"/>
    <x v="70"/>
  </r>
  <r>
    <x v="17"/>
    <x v="3"/>
    <n v="1918"/>
    <n v="212"/>
    <x v="71"/>
    <n v="7.36"/>
    <n v="36851"/>
    <x v="70"/>
    <x v="71"/>
  </r>
  <r>
    <x v="18"/>
    <x v="0"/>
    <n v="1939"/>
    <n v="67"/>
    <x v="72"/>
    <n v="6.25"/>
    <n v="41215"/>
    <x v="71"/>
    <x v="72"/>
  </r>
  <r>
    <x v="18"/>
    <x v="1"/>
    <n v="1929"/>
    <n v="267"/>
    <x v="73"/>
    <n v="1.75"/>
    <n v="43836"/>
    <x v="72"/>
    <x v="73"/>
  </r>
  <r>
    <x v="18"/>
    <x v="2"/>
    <n v="437"/>
    <n v="330"/>
    <x v="74"/>
    <n v="4.97"/>
    <n v="4509"/>
    <x v="73"/>
    <x v="74"/>
  </r>
  <r>
    <x v="18"/>
    <x v="3"/>
    <n v="307"/>
    <n v="189"/>
    <x v="75"/>
    <n v="9.3000000000000007"/>
    <n v="27822"/>
    <x v="74"/>
    <x v="75"/>
  </r>
  <r>
    <x v="19"/>
    <x v="0"/>
    <n v="1527"/>
    <n v="303"/>
    <x v="76"/>
    <n v="8.9"/>
    <n v="36397"/>
    <x v="75"/>
    <x v="76"/>
  </r>
  <r>
    <x v="19"/>
    <x v="1"/>
    <n v="643"/>
    <n v="358"/>
    <x v="77"/>
    <n v="3.88"/>
    <n v="7285"/>
    <x v="76"/>
    <x v="77"/>
  </r>
  <r>
    <x v="19"/>
    <x v="2"/>
    <n v="201"/>
    <n v="221"/>
    <x v="78"/>
    <n v="5.9"/>
    <n v="33174"/>
    <x v="77"/>
    <x v="78"/>
  </r>
  <r>
    <x v="19"/>
    <x v="3"/>
    <n v="414"/>
    <n v="47"/>
    <x v="79"/>
    <n v="1.53"/>
    <n v="6742"/>
    <x v="78"/>
    <x v="79"/>
  </r>
  <r>
    <x v="20"/>
    <x v="0"/>
    <n v="703"/>
    <n v="441"/>
    <x v="80"/>
    <n v="6.5"/>
    <n v="32478"/>
    <x v="79"/>
    <x v="80"/>
  </r>
  <r>
    <x v="20"/>
    <x v="1"/>
    <n v="508"/>
    <n v="69"/>
    <x v="81"/>
    <n v="3.16"/>
    <n v="42824"/>
    <x v="80"/>
    <x v="81"/>
  </r>
  <r>
    <x v="20"/>
    <x v="2"/>
    <n v="697"/>
    <n v="61"/>
    <x v="82"/>
    <n v="8.25"/>
    <n v="21208"/>
    <x v="81"/>
    <x v="82"/>
  </r>
  <r>
    <x v="20"/>
    <x v="3"/>
    <n v="1707"/>
    <n v="223"/>
    <x v="83"/>
    <n v="5.41"/>
    <n v="44321"/>
    <x v="82"/>
    <x v="83"/>
  </r>
  <r>
    <x v="21"/>
    <x v="0"/>
    <n v="642"/>
    <n v="66"/>
    <x v="84"/>
    <n v="5.85"/>
    <n v="13116"/>
    <x v="83"/>
    <x v="84"/>
  </r>
  <r>
    <x v="21"/>
    <x v="1"/>
    <n v="859"/>
    <n v="473"/>
    <x v="85"/>
    <n v="4.46"/>
    <n v="30214"/>
    <x v="84"/>
    <x v="85"/>
  </r>
  <r>
    <x v="21"/>
    <x v="2"/>
    <n v="191"/>
    <n v="154"/>
    <x v="86"/>
    <n v="5.22"/>
    <n v="15827"/>
    <x v="42"/>
    <x v="86"/>
  </r>
  <r>
    <x v="21"/>
    <x v="3"/>
    <n v="1814"/>
    <n v="157"/>
    <x v="87"/>
    <n v="1.99"/>
    <n v="46643"/>
    <x v="85"/>
    <x v="87"/>
  </r>
  <r>
    <x v="22"/>
    <x v="0"/>
    <n v="1466"/>
    <n v="69"/>
    <x v="88"/>
    <n v="6.85"/>
    <n v="36484"/>
    <x v="86"/>
    <x v="88"/>
  </r>
  <r>
    <x v="22"/>
    <x v="1"/>
    <n v="947"/>
    <n v="407"/>
    <x v="89"/>
    <n v="3.32"/>
    <n v="4996"/>
    <x v="87"/>
    <x v="89"/>
  </r>
  <r>
    <x v="22"/>
    <x v="2"/>
    <n v="1821"/>
    <n v="218"/>
    <x v="90"/>
    <n v="5.68"/>
    <n v="36095"/>
    <x v="88"/>
    <x v="90"/>
  </r>
  <r>
    <x v="22"/>
    <x v="3"/>
    <n v="1507"/>
    <n v="463"/>
    <x v="91"/>
    <n v="6.08"/>
    <n v="16443"/>
    <x v="89"/>
    <x v="91"/>
  </r>
  <r>
    <x v="23"/>
    <x v="0"/>
    <n v="1075"/>
    <n v="173"/>
    <x v="92"/>
    <n v="4.66"/>
    <n v="47812"/>
    <x v="90"/>
    <x v="92"/>
  </r>
  <r>
    <x v="23"/>
    <x v="1"/>
    <n v="171"/>
    <n v="277"/>
    <x v="93"/>
    <n v="8.6999999999999993"/>
    <n v="38452"/>
    <x v="91"/>
    <x v="93"/>
  </r>
  <r>
    <x v="23"/>
    <x v="2"/>
    <n v="1487"/>
    <n v="337"/>
    <x v="94"/>
    <n v="2.46"/>
    <n v="30428"/>
    <x v="92"/>
    <x v="94"/>
  </r>
  <r>
    <x v="23"/>
    <x v="3"/>
    <n v="454"/>
    <n v="105"/>
    <x v="95"/>
    <n v="7.97"/>
    <n v="9269"/>
    <x v="93"/>
    <x v="95"/>
  </r>
  <r>
    <x v="24"/>
    <x v="0"/>
    <n v="187"/>
    <n v="236"/>
    <x v="96"/>
    <n v="9.41"/>
    <n v="29533"/>
    <x v="94"/>
    <x v="96"/>
  </r>
  <r>
    <x v="24"/>
    <x v="1"/>
    <n v="513"/>
    <n v="441"/>
    <x v="97"/>
    <n v="2.68"/>
    <n v="39997"/>
    <x v="95"/>
    <x v="97"/>
  </r>
  <r>
    <x v="24"/>
    <x v="2"/>
    <n v="628"/>
    <n v="183"/>
    <x v="98"/>
    <n v="7.32"/>
    <n v="5391"/>
    <x v="96"/>
    <x v="98"/>
  </r>
  <r>
    <x v="24"/>
    <x v="3"/>
    <n v="278"/>
    <n v="218"/>
    <x v="99"/>
    <n v="4.68"/>
    <n v="22373"/>
    <x v="97"/>
    <x v="99"/>
  </r>
  <r>
    <x v="25"/>
    <x v="0"/>
    <n v="1854"/>
    <n v="161"/>
    <x v="100"/>
    <n v="5.17"/>
    <n v="1810"/>
    <x v="98"/>
    <x v="100"/>
  </r>
  <r>
    <x v="25"/>
    <x v="1"/>
    <n v="1710"/>
    <n v="378"/>
    <x v="101"/>
    <n v="6.2"/>
    <n v="28498"/>
    <x v="99"/>
    <x v="101"/>
  </r>
  <r>
    <x v="25"/>
    <x v="2"/>
    <n v="330"/>
    <n v="232"/>
    <x v="102"/>
    <n v="2.69"/>
    <n v="39530"/>
    <x v="60"/>
    <x v="102"/>
  </r>
  <r>
    <x v="25"/>
    <x v="3"/>
    <n v="1293"/>
    <n v="408"/>
    <x v="103"/>
    <n v="8.9"/>
    <n v="37876"/>
    <x v="100"/>
    <x v="103"/>
  </r>
  <r>
    <x v="26"/>
    <x v="0"/>
    <n v="1696"/>
    <n v="71"/>
    <x v="104"/>
    <n v="3.79"/>
    <n v="36103"/>
    <x v="101"/>
    <x v="104"/>
  </r>
  <r>
    <x v="26"/>
    <x v="1"/>
    <n v="1902"/>
    <n v="196"/>
    <x v="105"/>
    <n v="4.79"/>
    <n v="26103"/>
    <x v="70"/>
    <x v="105"/>
  </r>
  <r>
    <x v="26"/>
    <x v="2"/>
    <n v="1441"/>
    <n v="268"/>
    <x v="106"/>
    <n v="6.37"/>
    <n v="3455"/>
    <x v="102"/>
    <x v="106"/>
  </r>
  <r>
    <x v="26"/>
    <x v="3"/>
    <n v="452"/>
    <n v="161"/>
    <x v="107"/>
    <n v="2.65"/>
    <n v="40888"/>
    <x v="103"/>
    <x v="107"/>
  </r>
  <r>
    <x v="27"/>
    <x v="0"/>
    <n v="1494"/>
    <n v="375"/>
    <x v="108"/>
    <n v="1.81"/>
    <n v="22724"/>
    <x v="104"/>
    <x v="108"/>
  </r>
  <r>
    <x v="27"/>
    <x v="1"/>
    <n v="1514"/>
    <n v="141"/>
    <x v="109"/>
    <n v="7.47"/>
    <n v="18601"/>
    <x v="105"/>
    <x v="109"/>
  </r>
  <r>
    <x v="27"/>
    <x v="2"/>
    <n v="1937"/>
    <n v="210"/>
    <x v="110"/>
    <n v="4.2"/>
    <n v="20861"/>
    <x v="106"/>
    <x v="110"/>
  </r>
  <r>
    <x v="27"/>
    <x v="3"/>
    <n v="736"/>
    <n v="163"/>
    <x v="111"/>
    <n v="5.43"/>
    <n v="46625"/>
    <x v="107"/>
    <x v="111"/>
  </r>
  <r>
    <x v="28"/>
    <x v="0"/>
    <n v="1502"/>
    <n v="70"/>
    <x v="112"/>
    <n v="3.32"/>
    <n v="20692"/>
    <x v="108"/>
    <x v="112"/>
  </r>
  <r>
    <x v="28"/>
    <x v="1"/>
    <n v="1623"/>
    <n v="246"/>
    <x v="113"/>
    <n v="8.11"/>
    <n v="18656"/>
    <x v="109"/>
    <x v="113"/>
  </r>
  <r>
    <x v="28"/>
    <x v="2"/>
    <n v="1592"/>
    <n v="233"/>
    <x v="114"/>
    <n v="6.66"/>
    <n v="13316"/>
    <x v="110"/>
    <x v="114"/>
  </r>
  <r>
    <x v="28"/>
    <x v="3"/>
    <n v="1004"/>
    <n v="128"/>
    <x v="115"/>
    <n v="8.09"/>
    <n v="49558"/>
    <x v="111"/>
    <x v="115"/>
  </r>
  <r>
    <x v="29"/>
    <x v="0"/>
    <n v="1092"/>
    <n v="408"/>
    <x v="116"/>
    <n v="8.44"/>
    <n v="4683"/>
    <x v="112"/>
    <x v="116"/>
  </r>
  <r>
    <x v="29"/>
    <x v="1"/>
    <n v="1155"/>
    <n v="425"/>
    <x v="117"/>
    <n v="2.02"/>
    <n v="47502"/>
    <x v="113"/>
    <x v="117"/>
  </r>
  <r>
    <x v="29"/>
    <x v="2"/>
    <n v="1137"/>
    <n v="226"/>
    <x v="118"/>
    <n v="7.74"/>
    <n v="35359"/>
    <x v="114"/>
    <x v="118"/>
  </r>
  <r>
    <x v="29"/>
    <x v="3"/>
    <n v="1900"/>
    <n v="311"/>
    <x v="119"/>
    <n v="2.89"/>
    <n v="14154"/>
    <x v="115"/>
    <x v="119"/>
  </r>
  <r>
    <x v="30"/>
    <x v="0"/>
    <n v="1814"/>
    <n v="49"/>
    <x v="120"/>
    <n v="1.76"/>
    <n v="4313"/>
    <x v="116"/>
    <x v="120"/>
  </r>
  <r>
    <x v="30"/>
    <x v="1"/>
    <n v="1980"/>
    <n v="204"/>
    <x v="121"/>
    <n v="3.09"/>
    <n v="25140"/>
    <x v="117"/>
    <x v="121"/>
  </r>
  <r>
    <x v="30"/>
    <x v="2"/>
    <n v="1786"/>
    <n v="257"/>
    <x v="122"/>
    <n v="4.68"/>
    <n v="9118"/>
    <x v="118"/>
    <x v="122"/>
  </r>
  <r>
    <x v="30"/>
    <x v="3"/>
    <n v="1495"/>
    <n v="35"/>
    <x v="123"/>
    <n v="4.4800000000000004"/>
    <n v="39931"/>
    <x v="119"/>
    <x v="123"/>
  </r>
  <r>
    <x v="31"/>
    <x v="0"/>
    <n v="1013"/>
    <n v="110"/>
    <x v="124"/>
    <n v="5.3"/>
    <n v="37132"/>
    <x v="120"/>
    <x v="124"/>
  </r>
  <r>
    <x v="31"/>
    <x v="1"/>
    <n v="816"/>
    <n v="196"/>
    <x v="125"/>
    <n v="8.1999999999999993"/>
    <n v="17951"/>
    <x v="121"/>
    <x v="125"/>
  </r>
  <r>
    <x v="31"/>
    <x v="2"/>
    <n v="1633"/>
    <n v="445"/>
    <x v="126"/>
    <n v="2.2200000000000002"/>
    <n v="2798"/>
    <x v="122"/>
    <x v="126"/>
  </r>
  <r>
    <x v="31"/>
    <x v="3"/>
    <n v="891"/>
    <n v="45"/>
    <x v="127"/>
    <n v="8.33"/>
    <n v="15045"/>
    <x v="123"/>
    <x v="127"/>
  </r>
  <r>
    <x v="32"/>
    <x v="0"/>
    <n v="1855"/>
    <n v="133"/>
    <x v="128"/>
    <n v="3.3"/>
    <n v="14548"/>
    <x v="124"/>
    <x v="128"/>
  </r>
  <r>
    <x v="32"/>
    <x v="1"/>
    <n v="651"/>
    <n v="353"/>
    <x v="129"/>
    <n v="5.61"/>
    <n v="45708"/>
    <x v="125"/>
    <x v="129"/>
  </r>
  <r>
    <x v="32"/>
    <x v="2"/>
    <n v="118"/>
    <n v="262"/>
    <x v="130"/>
    <n v="2.56"/>
    <n v="12350"/>
    <x v="126"/>
    <x v="130"/>
  </r>
  <r>
    <x v="32"/>
    <x v="3"/>
    <n v="1331"/>
    <n v="430"/>
    <x v="131"/>
    <n v="3.29"/>
    <n v="40868"/>
    <x v="127"/>
    <x v="131"/>
  </r>
  <r>
    <x v="33"/>
    <x v="0"/>
    <n v="1748"/>
    <n v="176"/>
    <x v="132"/>
    <n v="9.24"/>
    <n v="43122"/>
    <x v="55"/>
    <x v="132"/>
  </r>
  <r>
    <x v="33"/>
    <x v="1"/>
    <n v="663"/>
    <n v="236"/>
    <x v="133"/>
    <n v="4.51"/>
    <n v="23853"/>
    <x v="128"/>
    <x v="133"/>
  </r>
  <r>
    <x v="33"/>
    <x v="2"/>
    <n v="1040"/>
    <n v="149"/>
    <x v="134"/>
    <n v="5.23"/>
    <n v="45380"/>
    <x v="129"/>
    <x v="134"/>
  </r>
  <r>
    <x v="33"/>
    <x v="3"/>
    <n v="1166"/>
    <n v="442"/>
    <x v="135"/>
    <n v="4.68"/>
    <n v="7705"/>
    <x v="130"/>
    <x v="135"/>
  </r>
  <r>
    <x v="34"/>
    <x v="0"/>
    <n v="115"/>
    <n v="281"/>
    <x v="136"/>
    <n v="9.23"/>
    <n v="25525"/>
    <x v="131"/>
    <x v="136"/>
  </r>
  <r>
    <x v="34"/>
    <x v="1"/>
    <n v="1249"/>
    <n v="351"/>
    <x v="137"/>
    <n v="6.37"/>
    <n v="20560"/>
    <x v="132"/>
    <x v="137"/>
  </r>
  <r>
    <x v="34"/>
    <x v="2"/>
    <n v="1501"/>
    <n v="75"/>
    <x v="138"/>
    <n v="2.0099999999999998"/>
    <n v="19119"/>
    <x v="133"/>
    <x v="138"/>
  </r>
  <r>
    <x v="34"/>
    <x v="3"/>
    <n v="1411"/>
    <n v="186"/>
    <x v="139"/>
    <n v="3.72"/>
    <n v="43999"/>
    <x v="134"/>
    <x v="139"/>
  </r>
  <r>
    <x v="35"/>
    <x v="0"/>
    <n v="1556"/>
    <n v="476"/>
    <x v="140"/>
    <n v="3.89"/>
    <n v="10825"/>
    <x v="135"/>
    <x v="140"/>
  </r>
  <r>
    <x v="35"/>
    <x v="1"/>
    <n v="1159"/>
    <n v="411"/>
    <x v="141"/>
    <n v="8.6999999999999993"/>
    <n v="40323"/>
    <x v="136"/>
    <x v="141"/>
  </r>
  <r>
    <x v="35"/>
    <x v="2"/>
    <n v="927"/>
    <n v="358"/>
    <x v="142"/>
    <n v="6.95"/>
    <n v="48270"/>
    <x v="137"/>
    <x v="142"/>
  </r>
  <r>
    <x v="35"/>
    <x v="3"/>
    <n v="152"/>
    <n v="355"/>
    <x v="143"/>
    <n v="9.48"/>
    <n v="18001"/>
    <x v="138"/>
    <x v="143"/>
  </r>
  <r>
    <x v="36"/>
    <x v="0"/>
    <n v="1957"/>
    <n v="234"/>
    <x v="144"/>
    <n v="4.6100000000000003"/>
    <n v="3314"/>
    <x v="139"/>
    <x v="144"/>
  </r>
  <r>
    <x v="36"/>
    <x v="1"/>
    <n v="1294"/>
    <n v="382"/>
    <x v="145"/>
    <n v="8.0299999999999994"/>
    <n v="23489"/>
    <x v="140"/>
    <x v="145"/>
  </r>
  <r>
    <x v="36"/>
    <x v="2"/>
    <n v="1587"/>
    <n v="385"/>
    <x v="146"/>
    <n v="6.99"/>
    <n v="42832"/>
    <x v="141"/>
    <x v="146"/>
  </r>
  <r>
    <x v="36"/>
    <x v="3"/>
    <n v="1707"/>
    <n v="263"/>
    <x v="147"/>
    <n v="9.0299999999999994"/>
    <n v="24494"/>
    <x v="142"/>
    <x v="147"/>
  </r>
  <r>
    <x v="37"/>
    <x v="0"/>
    <n v="1138"/>
    <n v="173"/>
    <x v="148"/>
    <n v="2.86"/>
    <n v="44097"/>
    <x v="143"/>
    <x v="148"/>
  </r>
  <r>
    <x v="37"/>
    <x v="1"/>
    <n v="1895"/>
    <n v="305"/>
    <x v="149"/>
    <n v="3.85"/>
    <n v="31853"/>
    <x v="144"/>
    <x v="149"/>
  </r>
  <r>
    <x v="37"/>
    <x v="2"/>
    <n v="362"/>
    <n v="399"/>
    <x v="150"/>
    <n v="7.3"/>
    <n v="37636"/>
    <x v="145"/>
    <x v="150"/>
  </r>
  <r>
    <x v="37"/>
    <x v="3"/>
    <n v="1662"/>
    <n v="487"/>
    <x v="151"/>
    <n v="9.08"/>
    <n v="22996"/>
    <x v="146"/>
    <x v="151"/>
  </r>
  <r>
    <x v="38"/>
    <x v="0"/>
    <n v="1440"/>
    <n v="65"/>
    <x v="152"/>
    <n v="4.34"/>
    <n v="49772"/>
    <x v="147"/>
    <x v="152"/>
  </r>
  <r>
    <x v="38"/>
    <x v="1"/>
    <n v="1884"/>
    <n v="177"/>
    <x v="153"/>
    <n v="7.8"/>
    <n v="22713"/>
    <x v="148"/>
    <x v="153"/>
  </r>
  <r>
    <x v="38"/>
    <x v="2"/>
    <n v="861"/>
    <n v="153"/>
    <x v="154"/>
    <n v="3.85"/>
    <n v="8718"/>
    <x v="149"/>
    <x v="154"/>
  </r>
  <r>
    <x v="38"/>
    <x v="3"/>
    <n v="1063"/>
    <n v="47"/>
    <x v="155"/>
    <n v="6.58"/>
    <n v="39031"/>
    <x v="150"/>
    <x v="155"/>
  </r>
  <r>
    <x v="39"/>
    <x v="0"/>
    <n v="1371"/>
    <n v="56"/>
    <x v="156"/>
    <n v="8.6199999999999992"/>
    <n v="33799"/>
    <x v="151"/>
    <x v="156"/>
  </r>
  <r>
    <x v="39"/>
    <x v="1"/>
    <n v="345"/>
    <n v="464"/>
    <x v="157"/>
    <n v="4.55"/>
    <n v="20553"/>
    <x v="152"/>
    <x v="157"/>
  </r>
  <r>
    <x v="39"/>
    <x v="2"/>
    <n v="946"/>
    <n v="47"/>
    <x v="158"/>
    <n v="8.33"/>
    <n v="10002"/>
    <x v="153"/>
    <x v="158"/>
  </r>
  <r>
    <x v="39"/>
    <x v="3"/>
    <n v="510"/>
    <n v="195"/>
    <x v="159"/>
    <n v="9.4"/>
    <n v="30987"/>
    <x v="154"/>
    <x v="159"/>
  </r>
  <r>
    <x v="40"/>
    <x v="0"/>
    <n v="393"/>
    <n v="181"/>
    <x v="160"/>
    <n v="7.23"/>
    <n v="6296"/>
    <x v="155"/>
    <x v="160"/>
  </r>
  <r>
    <x v="40"/>
    <x v="1"/>
    <n v="1098"/>
    <n v="190"/>
    <x v="161"/>
    <n v="9.39"/>
    <n v="21539"/>
    <x v="156"/>
    <x v="161"/>
  </r>
  <r>
    <x v="40"/>
    <x v="2"/>
    <n v="1399"/>
    <n v="49"/>
    <x v="162"/>
    <n v="5.12"/>
    <n v="14722"/>
    <x v="157"/>
    <x v="162"/>
  </r>
  <r>
    <x v="40"/>
    <x v="3"/>
    <n v="1658"/>
    <n v="416"/>
    <x v="163"/>
    <n v="6.11"/>
    <n v="11383"/>
    <x v="158"/>
    <x v="163"/>
  </r>
  <r>
    <x v="41"/>
    <x v="0"/>
    <n v="1102"/>
    <n v="422"/>
    <x v="164"/>
    <n v="7.74"/>
    <n v="9480"/>
    <x v="159"/>
    <x v="164"/>
  </r>
  <r>
    <x v="41"/>
    <x v="1"/>
    <n v="1358"/>
    <n v="242"/>
    <x v="165"/>
    <n v="4.9400000000000004"/>
    <n v="29116"/>
    <x v="160"/>
    <x v="165"/>
  </r>
  <r>
    <x v="41"/>
    <x v="2"/>
    <n v="1077"/>
    <n v="216"/>
    <x v="166"/>
    <n v="1.8"/>
    <n v="14068"/>
    <x v="161"/>
    <x v="166"/>
  </r>
  <r>
    <x v="41"/>
    <x v="3"/>
    <n v="1596"/>
    <n v="211"/>
    <x v="167"/>
    <n v="8.64"/>
    <n v="35801"/>
    <x v="162"/>
    <x v="167"/>
  </r>
  <r>
    <x v="42"/>
    <x v="0"/>
    <n v="490"/>
    <n v="29"/>
    <x v="168"/>
    <n v="1.53"/>
    <n v="49077"/>
    <x v="163"/>
    <x v="168"/>
  </r>
  <r>
    <x v="42"/>
    <x v="1"/>
    <n v="609"/>
    <n v="135"/>
    <x v="169"/>
    <n v="8.52"/>
    <n v="21453"/>
    <x v="164"/>
    <x v="169"/>
  </r>
  <r>
    <x v="42"/>
    <x v="2"/>
    <n v="364"/>
    <n v="72"/>
    <x v="170"/>
    <n v="5.53"/>
    <n v="21061"/>
    <x v="165"/>
    <x v="170"/>
  </r>
  <r>
    <x v="42"/>
    <x v="3"/>
    <n v="442"/>
    <n v="53"/>
    <x v="171"/>
    <n v="1.87"/>
    <n v="20059"/>
    <x v="166"/>
    <x v="171"/>
  </r>
  <r>
    <x v="43"/>
    <x v="0"/>
    <n v="1033"/>
    <n v="392"/>
    <x v="172"/>
    <n v="6.27"/>
    <n v="23140"/>
    <x v="167"/>
    <x v="172"/>
  </r>
  <r>
    <x v="43"/>
    <x v="1"/>
    <n v="988"/>
    <n v="474"/>
    <x v="173"/>
    <n v="9.4600000000000009"/>
    <n v="23461"/>
    <x v="23"/>
    <x v="173"/>
  </r>
  <r>
    <x v="43"/>
    <x v="2"/>
    <n v="1946"/>
    <n v="270"/>
    <x v="174"/>
    <n v="7.5"/>
    <n v="11805"/>
    <x v="168"/>
    <x v="174"/>
  </r>
  <r>
    <x v="43"/>
    <x v="3"/>
    <n v="1957"/>
    <n v="490"/>
    <x v="175"/>
    <n v="4.7300000000000004"/>
    <n v="15969"/>
    <x v="169"/>
    <x v="175"/>
  </r>
  <r>
    <x v="44"/>
    <x v="0"/>
    <n v="559"/>
    <n v="392"/>
    <x v="176"/>
    <n v="3.19"/>
    <n v="2436"/>
    <x v="170"/>
    <x v="176"/>
  </r>
  <r>
    <x v="44"/>
    <x v="1"/>
    <n v="1307"/>
    <n v="278"/>
    <x v="177"/>
    <n v="2.4900000000000002"/>
    <n v="47603"/>
    <x v="171"/>
    <x v="177"/>
  </r>
  <r>
    <x v="44"/>
    <x v="2"/>
    <n v="1432"/>
    <n v="425"/>
    <x v="178"/>
    <n v="4.5"/>
    <n v="42964"/>
    <x v="172"/>
    <x v="178"/>
  </r>
  <r>
    <x v="44"/>
    <x v="3"/>
    <n v="623"/>
    <n v="414"/>
    <x v="179"/>
    <n v="6.49"/>
    <n v="39923"/>
    <x v="173"/>
    <x v="179"/>
  </r>
  <r>
    <x v="45"/>
    <x v="0"/>
    <n v="198"/>
    <n v="358"/>
    <x v="180"/>
    <n v="6.73"/>
    <n v="2293"/>
    <x v="174"/>
    <x v="180"/>
  </r>
  <r>
    <x v="45"/>
    <x v="1"/>
    <n v="198"/>
    <n v="373"/>
    <x v="181"/>
    <n v="4.83"/>
    <n v="25920"/>
    <x v="175"/>
    <x v="181"/>
  </r>
  <r>
    <x v="45"/>
    <x v="2"/>
    <n v="353"/>
    <n v="300"/>
    <x v="182"/>
    <n v="5.3"/>
    <n v="11035"/>
    <x v="176"/>
    <x v="182"/>
  </r>
  <r>
    <x v="45"/>
    <x v="3"/>
    <n v="520"/>
    <n v="375"/>
    <x v="183"/>
    <n v="6.54"/>
    <n v="20733"/>
    <x v="177"/>
    <x v="183"/>
  </r>
  <r>
    <x v="46"/>
    <x v="0"/>
    <n v="961"/>
    <n v="358"/>
    <x v="184"/>
    <n v="6.8"/>
    <n v="18693"/>
    <x v="178"/>
    <x v="184"/>
  </r>
  <r>
    <x v="46"/>
    <x v="1"/>
    <n v="1375"/>
    <n v="330"/>
    <x v="185"/>
    <n v="2.6"/>
    <n v="7875"/>
    <x v="52"/>
    <x v="185"/>
  </r>
  <r>
    <x v="46"/>
    <x v="2"/>
    <n v="1147"/>
    <n v="388"/>
    <x v="186"/>
    <n v="2.44"/>
    <n v="8471"/>
    <x v="179"/>
    <x v="186"/>
  </r>
  <r>
    <x v="46"/>
    <x v="3"/>
    <n v="1707"/>
    <n v="74"/>
    <x v="187"/>
    <n v="3.09"/>
    <n v="14090"/>
    <x v="180"/>
    <x v="187"/>
  </r>
  <r>
    <x v="47"/>
    <x v="0"/>
    <n v="1693"/>
    <n v="154"/>
    <x v="188"/>
    <n v="5.69"/>
    <n v="14216"/>
    <x v="181"/>
    <x v="188"/>
  </r>
  <r>
    <x v="47"/>
    <x v="1"/>
    <n v="833"/>
    <n v="380"/>
    <x v="189"/>
    <n v="3.86"/>
    <n v="3582"/>
    <x v="182"/>
    <x v="189"/>
  </r>
  <r>
    <x v="47"/>
    <x v="2"/>
    <n v="1222"/>
    <n v="274"/>
    <x v="190"/>
    <n v="3.16"/>
    <n v="32500"/>
    <x v="183"/>
    <x v="190"/>
  </r>
  <r>
    <x v="47"/>
    <x v="3"/>
    <n v="777"/>
    <n v="140"/>
    <x v="191"/>
    <n v="1.6"/>
    <n v="6832"/>
    <x v="184"/>
    <x v="191"/>
  </r>
  <r>
    <x v="48"/>
    <x v="0"/>
    <n v="1957"/>
    <n v="76"/>
    <x v="192"/>
    <n v="6.09"/>
    <n v="33381"/>
    <x v="185"/>
    <x v="192"/>
  </r>
  <r>
    <x v="48"/>
    <x v="1"/>
    <n v="405"/>
    <n v="66"/>
    <x v="193"/>
    <n v="5.59"/>
    <n v="48419"/>
    <x v="186"/>
    <x v="193"/>
  </r>
  <r>
    <x v="48"/>
    <x v="2"/>
    <n v="1581"/>
    <n v="71"/>
    <x v="194"/>
    <n v="3.55"/>
    <n v="16149"/>
    <x v="187"/>
    <x v="194"/>
  </r>
  <r>
    <x v="48"/>
    <x v="3"/>
    <n v="1035"/>
    <n v="171"/>
    <x v="195"/>
    <n v="5.21"/>
    <n v="7541"/>
    <x v="188"/>
    <x v="195"/>
  </r>
  <r>
    <x v="49"/>
    <x v="0"/>
    <n v="1765"/>
    <n v="109"/>
    <x v="196"/>
    <n v="1.82"/>
    <n v="20042"/>
    <x v="189"/>
    <x v="196"/>
  </r>
  <r>
    <x v="49"/>
    <x v="1"/>
    <n v="837"/>
    <n v="430"/>
    <x v="197"/>
    <n v="4"/>
    <n v="49400"/>
    <x v="190"/>
    <x v="197"/>
  </r>
  <r>
    <x v="49"/>
    <x v="2"/>
    <n v="337"/>
    <n v="68"/>
    <x v="198"/>
    <n v="7.57"/>
    <n v="4007"/>
    <x v="191"/>
    <x v="198"/>
  </r>
  <r>
    <x v="49"/>
    <x v="3"/>
    <n v="119"/>
    <n v="456"/>
    <x v="199"/>
    <n v="6.81"/>
    <n v="12174"/>
    <x v="192"/>
    <x v="19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1135"/>
    <n v="88"/>
    <n v="344084"/>
    <n v="8.06"/>
    <n v="5904"/>
    <n v="1047"/>
  </r>
  <r>
    <x v="0"/>
    <x v="1"/>
    <n v="1312"/>
    <n v="310"/>
    <n v="42654"/>
    <n v="4.9800000000000004"/>
    <n v="9566"/>
    <n v="1002"/>
  </r>
  <r>
    <x v="0"/>
    <x v="2"/>
    <n v="584"/>
    <n v="169"/>
    <n v="146834"/>
    <n v="8.31"/>
    <n v="26752"/>
    <n v="415"/>
  </r>
  <r>
    <x v="0"/>
    <x v="3"/>
    <n v="1535"/>
    <n v="445"/>
    <n v="395536"/>
    <n v="4.1100000000000003"/>
    <n v="30671"/>
    <n v="1090"/>
  </r>
  <r>
    <x v="1"/>
    <x v="0"/>
    <n v="656"/>
    <n v="139"/>
    <n v="49157"/>
    <n v="9.0500000000000007"/>
    <n v="9920"/>
    <n v="517"/>
  </r>
  <r>
    <x v="1"/>
    <x v="1"/>
    <n v="1697"/>
    <n v="414"/>
    <n v="316555"/>
    <n v="2.37"/>
    <n v="7924"/>
    <n v="1283"/>
  </r>
  <r>
    <x v="1"/>
    <x v="2"/>
    <n v="436"/>
    <n v="250"/>
    <n v="254347"/>
    <n v="4.01"/>
    <n v="8912"/>
    <n v="186"/>
  </r>
  <r>
    <x v="1"/>
    <x v="3"/>
    <n v="1197"/>
    <n v="203"/>
    <n v="413878"/>
    <n v="3.16"/>
    <n v="21205"/>
    <n v="994"/>
  </r>
  <r>
    <x v="2"/>
    <x v="0"/>
    <n v="1048"/>
    <n v="155"/>
    <n v="456946"/>
    <n v="2.46"/>
    <n v="11329"/>
    <n v="893"/>
  </r>
  <r>
    <x v="2"/>
    <x v="1"/>
    <n v="1753"/>
    <n v="371"/>
    <n v="169496"/>
    <n v="8.11"/>
    <n v="46670"/>
    <n v="1382"/>
  </r>
  <r>
    <x v="2"/>
    <x v="2"/>
    <n v="1335"/>
    <n v="40"/>
    <n v="122732"/>
    <n v="8.19"/>
    <n v="22482"/>
    <n v="1295"/>
  </r>
  <r>
    <x v="2"/>
    <x v="3"/>
    <n v="403"/>
    <n v="66"/>
    <n v="382851"/>
    <n v="3.49"/>
    <n v="24313"/>
    <n v="337"/>
  </r>
  <r>
    <x v="3"/>
    <x v="0"/>
    <n v="911"/>
    <n v="282"/>
    <n v="35664"/>
    <n v="6.92"/>
    <n v="18050"/>
    <n v="629"/>
  </r>
  <r>
    <x v="3"/>
    <x v="1"/>
    <n v="1779"/>
    <n v="109"/>
    <n v="26295"/>
    <n v="9.1199999999999992"/>
    <n v="30635"/>
    <n v="1670"/>
  </r>
  <r>
    <x v="3"/>
    <x v="2"/>
    <n v="1238"/>
    <n v="403"/>
    <n v="298421"/>
    <n v="3.5"/>
    <n v="31280"/>
    <n v="835"/>
  </r>
  <r>
    <x v="3"/>
    <x v="3"/>
    <n v="308"/>
    <n v="431"/>
    <n v="426184"/>
    <n v="2.62"/>
    <n v="1783"/>
    <n v="-123"/>
  </r>
  <r>
    <x v="4"/>
    <x v="0"/>
    <n v="226"/>
    <n v="445"/>
    <n v="419447"/>
    <n v="9.36"/>
    <n v="9566"/>
    <n v="-219"/>
  </r>
  <r>
    <x v="4"/>
    <x v="1"/>
    <n v="505"/>
    <n v="441"/>
    <n v="220020"/>
    <n v="4.4800000000000004"/>
    <n v="42307"/>
    <n v="64"/>
  </r>
  <r>
    <x v="4"/>
    <x v="2"/>
    <n v="1420"/>
    <n v="63"/>
    <n v="315305"/>
    <n v="6.19"/>
    <n v="5914"/>
    <n v="1357"/>
  </r>
  <r>
    <x v="4"/>
    <x v="3"/>
    <n v="144"/>
    <n v="53"/>
    <n v="113678"/>
    <n v="8.7200000000000006"/>
    <n v="30060"/>
    <n v="91"/>
  </r>
  <r>
    <x v="5"/>
    <x v="0"/>
    <n v="1757"/>
    <n v="85"/>
    <n v="58223"/>
    <n v="8.74"/>
    <n v="22728"/>
    <n v="1672"/>
  </r>
  <r>
    <x v="5"/>
    <x v="1"/>
    <n v="350"/>
    <n v="41"/>
    <n v="251694"/>
    <n v="1.91"/>
    <n v="38610"/>
    <n v="309"/>
  </r>
  <r>
    <x v="5"/>
    <x v="2"/>
    <n v="987"/>
    <n v="440"/>
    <n v="389810"/>
    <n v="4.66"/>
    <n v="2932"/>
    <n v="547"/>
  </r>
  <r>
    <x v="5"/>
    <x v="3"/>
    <n v="883"/>
    <n v="369"/>
    <n v="233694"/>
    <n v="2.88"/>
    <n v="15071"/>
    <n v="514"/>
  </r>
  <r>
    <x v="6"/>
    <x v="0"/>
    <n v="1960"/>
    <n v="115"/>
    <n v="154169"/>
    <n v="3.74"/>
    <n v="10740"/>
    <n v="1845"/>
  </r>
  <r>
    <x v="6"/>
    <x v="1"/>
    <n v="170"/>
    <n v="334"/>
    <n v="334626"/>
    <n v="6.44"/>
    <n v="43420"/>
    <n v="-164"/>
  </r>
  <r>
    <x v="6"/>
    <x v="2"/>
    <n v="704"/>
    <n v="275"/>
    <n v="226002"/>
    <n v="8.56"/>
    <n v="32393"/>
    <n v="429"/>
  </r>
  <r>
    <x v="6"/>
    <x v="3"/>
    <n v="224"/>
    <n v="64"/>
    <n v="156683"/>
    <n v="4.5599999999999996"/>
    <n v="28474"/>
    <n v="160"/>
  </r>
  <r>
    <x v="7"/>
    <x v="0"/>
    <n v="508"/>
    <n v="349"/>
    <n v="473812"/>
    <n v="7.88"/>
    <n v="17328"/>
    <n v="159"/>
  </r>
  <r>
    <x v="7"/>
    <x v="1"/>
    <n v="1391"/>
    <n v="430"/>
    <n v="295032"/>
    <n v="7.86"/>
    <n v="26067"/>
    <n v="961"/>
  </r>
  <r>
    <x v="7"/>
    <x v="2"/>
    <n v="1701"/>
    <n v="385"/>
    <n v="198278"/>
    <n v="5.34"/>
    <n v="32763"/>
    <n v="1316"/>
  </r>
  <r>
    <x v="7"/>
    <x v="3"/>
    <n v="804"/>
    <n v="487"/>
    <n v="306564"/>
    <n v="5.52"/>
    <n v="26452"/>
    <n v="317"/>
  </r>
  <r>
    <x v="8"/>
    <x v="0"/>
    <n v="653"/>
    <n v="112"/>
    <n v="23664"/>
    <n v="4.05"/>
    <n v="15353"/>
    <n v="541"/>
  </r>
  <r>
    <x v="8"/>
    <x v="1"/>
    <n v="160"/>
    <n v="478"/>
    <n v="435034"/>
    <n v="7.73"/>
    <n v="4839"/>
    <n v="-318"/>
  </r>
  <r>
    <x v="8"/>
    <x v="2"/>
    <n v="1756"/>
    <n v="261"/>
    <n v="287574"/>
    <n v="4.3600000000000003"/>
    <n v="39272"/>
    <n v="1495"/>
  </r>
  <r>
    <x v="8"/>
    <x v="3"/>
    <n v="576"/>
    <n v="101"/>
    <n v="62499"/>
    <n v="3.48"/>
    <n v="16804"/>
    <n v="475"/>
  </r>
  <r>
    <x v="9"/>
    <x v="0"/>
    <n v="645"/>
    <n v="293"/>
    <n v="437968"/>
    <n v="7.83"/>
    <n v="49303"/>
    <n v="352"/>
  </r>
  <r>
    <x v="9"/>
    <x v="1"/>
    <n v="214"/>
    <n v="411"/>
    <n v="125034"/>
    <n v="6.11"/>
    <n v="26455"/>
    <n v="-197"/>
  </r>
  <r>
    <x v="9"/>
    <x v="2"/>
    <n v="826"/>
    <n v="498"/>
    <n v="449994"/>
    <n v="9.43"/>
    <n v="12384"/>
    <n v="328"/>
  </r>
  <r>
    <x v="9"/>
    <x v="3"/>
    <n v="460"/>
    <n v="141"/>
    <n v="320650"/>
    <n v="4.04"/>
    <n v="49372"/>
    <n v="319"/>
  </r>
  <r>
    <x v="10"/>
    <x v="0"/>
    <n v="1528"/>
    <n v="203"/>
    <n v="489188"/>
    <n v="6.23"/>
    <n v="47101"/>
    <n v="1325"/>
  </r>
  <r>
    <x v="10"/>
    <x v="1"/>
    <n v="1534"/>
    <n v="200"/>
    <n v="307612"/>
    <n v="6.01"/>
    <n v="37903"/>
    <n v="1334"/>
  </r>
  <r>
    <x v="10"/>
    <x v="2"/>
    <n v="485"/>
    <n v="448"/>
    <n v="434883"/>
    <n v="8.5500000000000007"/>
    <n v="33258"/>
    <n v="37"/>
  </r>
  <r>
    <x v="10"/>
    <x v="3"/>
    <n v="1210"/>
    <n v="178"/>
    <n v="102042"/>
    <n v="5.42"/>
    <n v="6915"/>
    <n v="1032"/>
  </r>
  <r>
    <x v="11"/>
    <x v="0"/>
    <n v="215"/>
    <n v="139"/>
    <n v="325444"/>
    <n v="3.25"/>
    <n v="35501"/>
    <n v="76"/>
  </r>
  <r>
    <x v="11"/>
    <x v="1"/>
    <n v="1078"/>
    <n v="20"/>
    <n v="183924"/>
    <n v="8.84"/>
    <n v="14203"/>
    <n v="1058"/>
  </r>
  <r>
    <x v="11"/>
    <x v="2"/>
    <n v="1751"/>
    <n v="86"/>
    <n v="188655"/>
    <n v="7.24"/>
    <n v="22206"/>
    <n v="1665"/>
  </r>
  <r>
    <x v="11"/>
    <x v="3"/>
    <n v="221"/>
    <n v="31"/>
    <n v="87443"/>
    <n v="6.19"/>
    <n v="10283"/>
    <n v="190"/>
  </r>
  <r>
    <x v="12"/>
    <x v="0"/>
    <n v="1685"/>
    <n v="76"/>
    <n v="453799"/>
    <n v="5.71"/>
    <n v="24913"/>
    <n v="1609"/>
  </r>
  <r>
    <x v="12"/>
    <x v="1"/>
    <n v="248"/>
    <n v="211"/>
    <n v="379380"/>
    <n v="9.0399999999999991"/>
    <n v="26925"/>
    <n v="37"/>
  </r>
  <r>
    <x v="12"/>
    <x v="2"/>
    <n v="1300"/>
    <n v="71"/>
    <n v="186454"/>
    <n v="3.91"/>
    <n v="9942"/>
    <n v="1229"/>
  </r>
  <r>
    <x v="12"/>
    <x v="3"/>
    <n v="422"/>
    <n v="394"/>
    <n v="239044"/>
    <n v="7.83"/>
    <n v="32929"/>
    <n v="28"/>
  </r>
  <r>
    <x v="13"/>
    <x v="0"/>
    <n v="1429"/>
    <n v="182"/>
    <n v="101332"/>
    <n v="7.16"/>
    <n v="37829"/>
    <n v="1247"/>
  </r>
  <r>
    <x v="13"/>
    <x v="1"/>
    <n v="1520"/>
    <n v="475"/>
    <n v="496982"/>
    <n v="6.41"/>
    <n v="24384"/>
    <n v="1045"/>
  </r>
  <r>
    <x v="13"/>
    <x v="2"/>
    <n v="557"/>
    <n v="360"/>
    <n v="318779"/>
    <n v="8.02"/>
    <n v="25797"/>
    <n v="197"/>
  </r>
  <r>
    <x v="13"/>
    <x v="3"/>
    <n v="728"/>
    <n v="395"/>
    <n v="370971"/>
    <n v="3.86"/>
    <n v="12646"/>
    <n v="333"/>
  </r>
  <r>
    <x v="14"/>
    <x v="0"/>
    <n v="1592"/>
    <n v="20"/>
    <n v="378054"/>
    <n v="9.09"/>
    <n v="26663"/>
    <n v="1572"/>
  </r>
  <r>
    <x v="14"/>
    <x v="1"/>
    <n v="1842"/>
    <n v="414"/>
    <n v="307524"/>
    <n v="1.76"/>
    <n v="40478"/>
    <n v="1428"/>
  </r>
  <r>
    <x v="14"/>
    <x v="2"/>
    <n v="751"/>
    <n v="491"/>
    <n v="434047"/>
    <n v="9.24"/>
    <n v="15476"/>
    <n v="260"/>
  </r>
  <r>
    <x v="14"/>
    <x v="3"/>
    <n v="1409"/>
    <n v="309"/>
    <n v="64583"/>
    <n v="8.99"/>
    <n v="10217"/>
    <n v="1100"/>
  </r>
  <r>
    <x v="15"/>
    <x v="0"/>
    <n v="778"/>
    <n v="401"/>
    <n v="50793"/>
    <n v="3.4"/>
    <n v="21939"/>
    <n v="377"/>
  </r>
  <r>
    <x v="15"/>
    <x v="1"/>
    <n v="443"/>
    <n v="345"/>
    <n v="474162"/>
    <n v="9.1999999999999993"/>
    <n v="47462"/>
    <n v="98"/>
  </r>
  <r>
    <x v="15"/>
    <x v="2"/>
    <n v="1472"/>
    <n v="347"/>
    <n v="392355"/>
    <n v="8.59"/>
    <n v="30270"/>
    <n v="1125"/>
  </r>
  <r>
    <x v="15"/>
    <x v="3"/>
    <n v="123"/>
    <n v="155"/>
    <n v="119934"/>
    <n v="3.5"/>
    <n v="5442"/>
    <n v="-32"/>
  </r>
  <r>
    <x v="16"/>
    <x v="0"/>
    <n v="817"/>
    <n v="151"/>
    <n v="422625"/>
    <n v="2.36"/>
    <n v="1083"/>
    <n v="666"/>
  </r>
  <r>
    <x v="16"/>
    <x v="1"/>
    <n v="198"/>
    <n v="217"/>
    <n v="239753"/>
    <n v="7.36"/>
    <n v="11901"/>
    <n v="-19"/>
  </r>
  <r>
    <x v="16"/>
    <x v="2"/>
    <n v="1911"/>
    <n v="231"/>
    <n v="268516"/>
    <n v="8.5500000000000007"/>
    <n v="24018"/>
    <n v="1680"/>
  </r>
  <r>
    <x v="16"/>
    <x v="3"/>
    <n v="1218"/>
    <n v="212"/>
    <n v="63177"/>
    <n v="8.1300000000000008"/>
    <n v="38883"/>
    <n v="1006"/>
  </r>
  <r>
    <x v="17"/>
    <x v="0"/>
    <n v="1433"/>
    <n v="408"/>
    <n v="370269"/>
    <n v="3.3"/>
    <n v="30575"/>
    <n v="1025"/>
  </r>
  <r>
    <x v="17"/>
    <x v="1"/>
    <n v="250"/>
    <n v="429"/>
    <n v="453423"/>
    <n v="1.77"/>
    <n v="2315"/>
    <n v="-179"/>
  </r>
  <r>
    <x v="17"/>
    <x v="2"/>
    <n v="752"/>
    <n v="153"/>
    <n v="64906"/>
    <n v="2.09"/>
    <n v="12148"/>
    <n v="599"/>
  </r>
  <r>
    <x v="17"/>
    <x v="3"/>
    <n v="1918"/>
    <n v="212"/>
    <n v="94360"/>
    <n v="7.36"/>
    <n v="36851"/>
    <n v="1706"/>
  </r>
  <r>
    <x v="18"/>
    <x v="0"/>
    <n v="1939"/>
    <n v="67"/>
    <n v="187183"/>
    <n v="6.25"/>
    <n v="41215"/>
    <n v="1872"/>
  </r>
  <r>
    <x v="18"/>
    <x v="1"/>
    <n v="1929"/>
    <n v="267"/>
    <n v="379363"/>
    <n v="1.75"/>
    <n v="43836"/>
    <n v="1662"/>
  </r>
  <r>
    <x v="18"/>
    <x v="2"/>
    <n v="437"/>
    <n v="330"/>
    <n v="476486"/>
    <n v="4.97"/>
    <n v="4509"/>
    <n v="107"/>
  </r>
  <r>
    <x v="18"/>
    <x v="3"/>
    <n v="307"/>
    <n v="189"/>
    <n v="117767"/>
    <n v="9.3000000000000007"/>
    <n v="27822"/>
    <n v="118"/>
  </r>
  <r>
    <x v="19"/>
    <x v="0"/>
    <n v="1527"/>
    <n v="303"/>
    <n v="388555"/>
    <n v="8.9"/>
    <n v="36397"/>
    <n v="1224"/>
  </r>
  <r>
    <x v="19"/>
    <x v="1"/>
    <n v="643"/>
    <n v="358"/>
    <n v="157599"/>
    <n v="3.88"/>
    <n v="7285"/>
    <n v="285"/>
  </r>
  <r>
    <x v="19"/>
    <x v="2"/>
    <n v="201"/>
    <n v="221"/>
    <n v="309772"/>
    <n v="5.9"/>
    <n v="33174"/>
    <n v="-20"/>
  </r>
  <r>
    <x v="19"/>
    <x v="3"/>
    <n v="414"/>
    <n v="47"/>
    <n v="199178"/>
    <n v="1.53"/>
    <n v="6742"/>
    <n v="367"/>
  </r>
  <r>
    <x v="20"/>
    <x v="0"/>
    <n v="703"/>
    <n v="441"/>
    <n v="357089"/>
    <n v="6.5"/>
    <n v="32478"/>
    <n v="262"/>
  </r>
  <r>
    <x v="20"/>
    <x v="1"/>
    <n v="508"/>
    <n v="69"/>
    <n v="23492"/>
    <n v="3.16"/>
    <n v="42824"/>
    <n v="439"/>
  </r>
  <r>
    <x v="20"/>
    <x v="2"/>
    <n v="697"/>
    <n v="61"/>
    <n v="258287"/>
    <n v="8.25"/>
    <n v="21208"/>
    <n v="636"/>
  </r>
  <r>
    <x v="20"/>
    <x v="3"/>
    <n v="1707"/>
    <n v="223"/>
    <n v="256910"/>
    <n v="5.41"/>
    <n v="44321"/>
    <n v="1484"/>
  </r>
  <r>
    <x v="21"/>
    <x v="0"/>
    <n v="642"/>
    <n v="66"/>
    <n v="346522"/>
    <n v="5.85"/>
    <n v="13116"/>
    <n v="576"/>
  </r>
  <r>
    <x v="21"/>
    <x v="1"/>
    <n v="859"/>
    <n v="473"/>
    <n v="209987"/>
    <n v="4.46"/>
    <n v="30214"/>
    <n v="386"/>
  </r>
  <r>
    <x v="21"/>
    <x v="2"/>
    <n v="191"/>
    <n v="154"/>
    <n v="240550"/>
    <n v="5.22"/>
    <n v="15827"/>
    <n v="37"/>
  </r>
  <r>
    <x v="21"/>
    <x v="3"/>
    <n v="1814"/>
    <n v="157"/>
    <n v="305827"/>
    <n v="1.99"/>
    <n v="46643"/>
    <n v="1657"/>
  </r>
  <r>
    <x v="22"/>
    <x v="0"/>
    <n v="1466"/>
    <n v="69"/>
    <n v="54935"/>
    <n v="6.85"/>
    <n v="36484"/>
    <n v="1397"/>
  </r>
  <r>
    <x v="22"/>
    <x v="1"/>
    <n v="947"/>
    <n v="407"/>
    <n v="319186"/>
    <n v="3.32"/>
    <n v="4996"/>
    <n v="540"/>
  </r>
  <r>
    <x v="22"/>
    <x v="2"/>
    <n v="1821"/>
    <n v="218"/>
    <n v="439080"/>
    <n v="5.68"/>
    <n v="36095"/>
    <n v="1603"/>
  </r>
  <r>
    <x v="22"/>
    <x v="3"/>
    <n v="1507"/>
    <n v="463"/>
    <n v="258944"/>
    <n v="6.08"/>
    <n v="16443"/>
    <n v="1044"/>
  </r>
  <r>
    <x v="23"/>
    <x v="0"/>
    <n v="1075"/>
    <n v="173"/>
    <n v="51395"/>
    <n v="4.66"/>
    <n v="47812"/>
    <n v="902"/>
  </r>
  <r>
    <x v="23"/>
    <x v="1"/>
    <n v="171"/>
    <n v="277"/>
    <n v="309483"/>
    <n v="8.6999999999999993"/>
    <n v="38452"/>
    <n v="-106"/>
  </r>
  <r>
    <x v="23"/>
    <x v="2"/>
    <n v="1487"/>
    <n v="337"/>
    <n v="87305"/>
    <n v="2.46"/>
    <n v="30428"/>
    <n v="1150"/>
  </r>
  <r>
    <x v="23"/>
    <x v="3"/>
    <n v="454"/>
    <n v="105"/>
    <n v="121091"/>
    <n v="7.97"/>
    <n v="9269"/>
    <n v="349"/>
  </r>
  <r>
    <x v="24"/>
    <x v="0"/>
    <n v="187"/>
    <n v="236"/>
    <n v="51087"/>
    <n v="9.41"/>
    <n v="29533"/>
    <n v="-49"/>
  </r>
  <r>
    <x v="24"/>
    <x v="1"/>
    <n v="513"/>
    <n v="441"/>
    <n v="338847"/>
    <n v="2.68"/>
    <n v="39997"/>
    <n v="72"/>
  </r>
  <r>
    <x v="24"/>
    <x v="2"/>
    <n v="628"/>
    <n v="183"/>
    <n v="487523"/>
    <n v="7.32"/>
    <n v="5391"/>
    <n v="445"/>
  </r>
  <r>
    <x v="24"/>
    <x v="3"/>
    <n v="278"/>
    <n v="218"/>
    <n v="301695"/>
    <n v="4.68"/>
    <n v="22373"/>
    <n v="60"/>
  </r>
  <r>
    <x v="25"/>
    <x v="0"/>
    <n v="1854"/>
    <n v="161"/>
    <n v="282466"/>
    <n v="5.17"/>
    <n v="1810"/>
    <n v="1693"/>
  </r>
  <r>
    <x v="25"/>
    <x v="1"/>
    <n v="1710"/>
    <n v="378"/>
    <n v="336661"/>
    <n v="6.2"/>
    <n v="28498"/>
    <n v="1332"/>
  </r>
  <r>
    <x v="25"/>
    <x v="2"/>
    <n v="330"/>
    <n v="232"/>
    <n v="88455"/>
    <n v="2.69"/>
    <n v="39530"/>
    <n v="98"/>
  </r>
  <r>
    <x v="25"/>
    <x v="3"/>
    <n v="1293"/>
    <n v="408"/>
    <n v="62535"/>
    <n v="8.9"/>
    <n v="37876"/>
    <n v="885"/>
  </r>
  <r>
    <x v="26"/>
    <x v="0"/>
    <n v="1696"/>
    <n v="71"/>
    <n v="421957"/>
    <n v="3.79"/>
    <n v="36103"/>
    <n v="1625"/>
  </r>
  <r>
    <x v="26"/>
    <x v="1"/>
    <n v="1902"/>
    <n v="196"/>
    <n v="470269"/>
    <n v="4.79"/>
    <n v="26103"/>
    <n v="1706"/>
  </r>
  <r>
    <x v="26"/>
    <x v="2"/>
    <n v="1441"/>
    <n v="268"/>
    <n v="309904"/>
    <n v="6.37"/>
    <n v="3455"/>
    <n v="1173"/>
  </r>
  <r>
    <x v="26"/>
    <x v="3"/>
    <n v="452"/>
    <n v="161"/>
    <n v="221274"/>
    <n v="2.65"/>
    <n v="40888"/>
    <n v="291"/>
  </r>
  <r>
    <x v="27"/>
    <x v="0"/>
    <n v="1494"/>
    <n v="375"/>
    <n v="220616"/>
    <n v="1.81"/>
    <n v="22724"/>
    <n v="1119"/>
  </r>
  <r>
    <x v="27"/>
    <x v="1"/>
    <n v="1514"/>
    <n v="141"/>
    <n v="35842"/>
    <n v="7.47"/>
    <n v="18601"/>
    <n v="1373"/>
  </r>
  <r>
    <x v="27"/>
    <x v="2"/>
    <n v="1937"/>
    <n v="210"/>
    <n v="20607"/>
    <n v="4.2"/>
    <n v="20861"/>
    <n v="1727"/>
  </r>
  <r>
    <x v="27"/>
    <x v="3"/>
    <n v="736"/>
    <n v="163"/>
    <n v="451894"/>
    <n v="5.43"/>
    <n v="46625"/>
    <n v="573"/>
  </r>
  <r>
    <x v="28"/>
    <x v="0"/>
    <n v="1502"/>
    <n v="70"/>
    <n v="465553"/>
    <n v="3.32"/>
    <n v="20692"/>
    <n v="1432"/>
  </r>
  <r>
    <x v="28"/>
    <x v="1"/>
    <n v="1623"/>
    <n v="246"/>
    <n v="415815"/>
    <n v="8.11"/>
    <n v="18656"/>
    <n v="1377"/>
  </r>
  <r>
    <x v="28"/>
    <x v="2"/>
    <n v="1592"/>
    <n v="233"/>
    <n v="327183"/>
    <n v="6.66"/>
    <n v="13316"/>
    <n v="1359"/>
  </r>
  <r>
    <x v="28"/>
    <x v="3"/>
    <n v="1004"/>
    <n v="128"/>
    <n v="488901"/>
    <n v="8.09"/>
    <n v="49558"/>
    <n v="876"/>
  </r>
  <r>
    <x v="29"/>
    <x v="0"/>
    <n v="1092"/>
    <n v="408"/>
    <n v="280795"/>
    <n v="8.44"/>
    <n v="4683"/>
    <n v="684"/>
  </r>
  <r>
    <x v="29"/>
    <x v="1"/>
    <n v="1155"/>
    <n v="425"/>
    <n v="93347"/>
    <n v="2.02"/>
    <n v="47502"/>
    <n v="730"/>
  </r>
  <r>
    <x v="29"/>
    <x v="2"/>
    <n v="1137"/>
    <n v="226"/>
    <n v="81119"/>
    <n v="7.74"/>
    <n v="35359"/>
    <n v="911"/>
  </r>
  <r>
    <x v="29"/>
    <x v="3"/>
    <n v="1900"/>
    <n v="311"/>
    <n v="25177"/>
    <n v="2.89"/>
    <n v="14154"/>
    <n v="1589"/>
  </r>
  <r>
    <x v="30"/>
    <x v="0"/>
    <n v="1814"/>
    <n v="49"/>
    <n v="140804"/>
    <n v="1.76"/>
    <n v="4313"/>
    <n v="1765"/>
  </r>
  <r>
    <x v="30"/>
    <x v="1"/>
    <n v="1980"/>
    <n v="204"/>
    <n v="379431"/>
    <n v="3.09"/>
    <n v="25140"/>
    <n v="1776"/>
  </r>
  <r>
    <x v="30"/>
    <x v="2"/>
    <n v="1786"/>
    <n v="257"/>
    <n v="274831"/>
    <n v="4.68"/>
    <n v="9118"/>
    <n v="1529"/>
  </r>
  <r>
    <x v="30"/>
    <x v="3"/>
    <n v="1495"/>
    <n v="35"/>
    <n v="136845"/>
    <n v="4.4800000000000004"/>
    <n v="39931"/>
    <n v="1460"/>
  </r>
  <r>
    <x v="31"/>
    <x v="0"/>
    <n v="1013"/>
    <n v="110"/>
    <n v="466382"/>
    <n v="5.3"/>
    <n v="37132"/>
    <n v="903"/>
  </r>
  <r>
    <x v="31"/>
    <x v="1"/>
    <n v="816"/>
    <n v="196"/>
    <n v="95728"/>
    <n v="8.1999999999999993"/>
    <n v="17951"/>
    <n v="620"/>
  </r>
  <r>
    <x v="31"/>
    <x v="2"/>
    <n v="1633"/>
    <n v="445"/>
    <n v="371156"/>
    <n v="2.2200000000000002"/>
    <n v="2798"/>
    <n v="1188"/>
  </r>
  <r>
    <x v="31"/>
    <x v="3"/>
    <n v="891"/>
    <n v="45"/>
    <n v="95410"/>
    <n v="8.33"/>
    <n v="15045"/>
    <n v="846"/>
  </r>
  <r>
    <x v="32"/>
    <x v="0"/>
    <n v="1855"/>
    <n v="133"/>
    <n v="349413"/>
    <n v="3.3"/>
    <n v="14548"/>
    <n v="1722"/>
  </r>
  <r>
    <x v="32"/>
    <x v="1"/>
    <n v="651"/>
    <n v="353"/>
    <n v="224699"/>
    <n v="5.61"/>
    <n v="45708"/>
    <n v="298"/>
  </r>
  <r>
    <x v="32"/>
    <x v="2"/>
    <n v="118"/>
    <n v="262"/>
    <n v="487896"/>
    <n v="2.56"/>
    <n v="12350"/>
    <n v="-144"/>
  </r>
  <r>
    <x v="32"/>
    <x v="3"/>
    <n v="1331"/>
    <n v="430"/>
    <n v="14437"/>
    <n v="3.29"/>
    <n v="40868"/>
    <n v="901"/>
  </r>
  <r>
    <x v="33"/>
    <x v="0"/>
    <n v="1748"/>
    <n v="176"/>
    <n v="383681"/>
    <n v="9.24"/>
    <n v="43122"/>
    <n v="1572"/>
  </r>
  <r>
    <x v="33"/>
    <x v="1"/>
    <n v="663"/>
    <n v="236"/>
    <n v="479490"/>
    <n v="4.51"/>
    <n v="23853"/>
    <n v="427"/>
  </r>
  <r>
    <x v="33"/>
    <x v="2"/>
    <n v="1040"/>
    <n v="149"/>
    <n v="124404"/>
    <n v="5.23"/>
    <n v="45380"/>
    <n v="891"/>
  </r>
  <r>
    <x v="33"/>
    <x v="3"/>
    <n v="1166"/>
    <n v="442"/>
    <n v="336949"/>
    <n v="4.68"/>
    <n v="7705"/>
    <n v="724"/>
  </r>
  <r>
    <x v="34"/>
    <x v="0"/>
    <n v="115"/>
    <n v="281"/>
    <n v="357265"/>
    <n v="9.23"/>
    <n v="25525"/>
    <n v="-166"/>
  </r>
  <r>
    <x v="34"/>
    <x v="1"/>
    <n v="1249"/>
    <n v="351"/>
    <n v="321307"/>
    <n v="6.37"/>
    <n v="20560"/>
    <n v="898"/>
  </r>
  <r>
    <x v="34"/>
    <x v="2"/>
    <n v="1501"/>
    <n v="75"/>
    <n v="262569"/>
    <n v="2.0099999999999998"/>
    <n v="19119"/>
    <n v="1426"/>
  </r>
  <r>
    <x v="34"/>
    <x v="3"/>
    <n v="1411"/>
    <n v="186"/>
    <n v="461669"/>
    <n v="3.72"/>
    <n v="43999"/>
    <n v="1225"/>
  </r>
  <r>
    <x v="35"/>
    <x v="0"/>
    <n v="1556"/>
    <n v="476"/>
    <n v="351556"/>
    <n v="3.89"/>
    <n v="10825"/>
    <n v="1080"/>
  </r>
  <r>
    <x v="35"/>
    <x v="1"/>
    <n v="1159"/>
    <n v="411"/>
    <n v="135987"/>
    <n v="8.6999999999999993"/>
    <n v="40323"/>
    <n v="748"/>
  </r>
  <r>
    <x v="35"/>
    <x v="2"/>
    <n v="927"/>
    <n v="358"/>
    <n v="177554"/>
    <n v="6.95"/>
    <n v="48270"/>
    <n v="569"/>
  </r>
  <r>
    <x v="35"/>
    <x v="3"/>
    <n v="152"/>
    <n v="355"/>
    <n v="270766"/>
    <n v="9.48"/>
    <n v="18001"/>
    <n v="-203"/>
  </r>
  <r>
    <x v="36"/>
    <x v="0"/>
    <n v="1957"/>
    <n v="234"/>
    <n v="222126"/>
    <n v="4.6100000000000003"/>
    <n v="3314"/>
    <n v="1723"/>
  </r>
  <r>
    <x v="36"/>
    <x v="1"/>
    <n v="1294"/>
    <n v="382"/>
    <n v="309914"/>
    <n v="8.0299999999999994"/>
    <n v="23489"/>
    <n v="912"/>
  </r>
  <r>
    <x v="36"/>
    <x v="2"/>
    <n v="1587"/>
    <n v="385"/>
    <n v="126582"/>
    <n v="6.99"/>
    <n v="42832"/>
    <n v="1202"/>
  </r>
  <r>
    <x v="36"/>
    <x v="3"/>
    <n v="1707"/>
    <n v="263"/>
    <n v="485280"/>
    <n v="9.0299999999999994"/>
    <n v="24494"/>
    <n v="1444"/>
  </r>
  <r>
    <x v="37"/>
    <x v="0"/>
    <n v="1138"/>
    <n v="173"/>
    <n v="453243"/>
    <n v="2.86"/>
    <n v="44097"/>
    <n v="965"/>
  </r>
  <r>
    <x v="37"/>
    <x v="1"/>
    <n v="1895"/>
    <n v="305"/>
    <n v="104967"/>
    <n v="3.85"/>
    <n v="31853"/>
    <n v="1590"/>
  </r>
  <r>
    <x v="37"/>
    <x v="2"/>
    <n v="362"/>
    <n v="399"/>
    <n v="145608"/>
    <n v="7.3"/>
    <n v="37636"/>
    <n v="-37"/>
  </r>
  <r>
    <x v="37"/>
    <x v="3"/>
    <n v="1662"/>
    <n v="487"/>
    <n v="105980"/>
    <n v="9.08"/>
    <n v="22996"/>
    <n v="1175"/>
  </r>
  <r>
    <x v="38"/>
    <x v="0"/>
    <n v="1440"/>
    <n v="65"/>
    <n v="126524"/>
    <n v="4.34"/>
    <n v="49772"/>
    <n v="1375"/>
  </r>
  <r>
    <x v="38"/>
    <x v="1"/>
    <n v="1884"/>
    <n v="177"/>
    <n v="230448"/>
    <n v="7.8"/>
    <n v="22713"/>
    <n v="1707"/>
  </r>
  <r>
    <x v="38"/>
    <x v="2"/>
    <n v="861"/>
    <n v="153"/>
    <n v="317007"/>
    <n v="3.85"/>
    <n v="8718"/>
    <n v="708"/>
  </r>
  <r>
    <x v="38"/>
    <x v="3"/>
    <n v="1063"/>
    <n v="47"/>
    <n v="464239"/>
    <n v="6.58"/>
    <n v="39031"/>
    <n v="1016"/>
  </r>
  <r>
    <x v="39"/>
    <x v="0"/>
    <n v="1371"/>
    <n v="56"/>
    <n v="257579"/>
    <n v="8.6199999999999992"/>
    <n v="33799"/>
    <n v="1315"/>
  </r>
  <r>
    <x v="39"/>
    <x v="1"/>
    <n v="345"/>
    <n v="464"/>
    <n v="366881"/>
    <n v="4.55"/>
    <n v="20553"/>
    <n v="-119"/>
  </r>
  <r>
    <x v="39"/>
    <x v="2"/>
    <n v="946"/>
    <n v="47"/>
    <n v="466575"/>
    <n v="8.33"/>
    <n v="10002"/>
    <n v="899"/>
  </r>
  <r>
    <x v="39"/>
    <x v="3"/>
    <n v="510"/>
    <n v="195"/>
    <n v="224534"/>
    <n v="9.4"/>
    <n v="30987"/>
    <n v="315"/>
  </r>
  <r>
    <x v="40"/>
    <x v="0"/>
    <n v="393"/>
    <n v="181"/>
    <n v="462142"/>
    <n v="7.23"/>
    <n v="6296"/>
    <n v="212"/>
  </r>
  <r>
    <x v="40"/>
    <x v="1"/>
    <n v="1098"/>
    <n v="190"/>
    <n v="340842"/>
    <n v="9.39"/>
    <n v="21539"/>
    <n v="908"/>
  </r>
  <r>
    <x v="40"/>
    <x v="2"/>
    <n v="1399"/>
    <n v="49"/>
    <n v="12471"/>
    <n v="5.12"/>
    <n v="14722"/>
    <n v="1350"/>
  </r>
  <r>
    <x v="40"/>
    <x v="3"/>
    <n v="1658"/>
    <n v="416"/>
    <n v="98397"/>
    <n v="6.11"/>
    <n v="11383"/>
    <n v="1242"/>
  </r>
  <r>
    <x v="41"/>
    <x v="0"/>
    <n v="1102"/>
    <n v="422"/>
    <n v="410330"/>
    <n v="7.74"/>
    <n v="9480"/>
    <n v="680"/>
  </r>
  <r>
    <x v="41"/>
    <x v="1"/>
    <n v="1358"/>
    <n v="242"/>
    <n v="342129"/>
    <n v="4.9400000000000004"/>
    <n v="29116"/>
    <n v="1116"/>
  </r>
  <r>
    <x v="41"/>
    <x v="2"/>
    <n v="1077"/>
    <n v="216"/>
    <n v="12447"/>
    <n v="1.8"/>
    <n v="14068"/>
    <n v="861"/>
  </r>
  <r>
    <x v="41"/>
    <x v="3"/>
    <n v="1596"/>
    <n v="211"/>
    <n v="17380"/>
    <n v="8.64"/>
    <n v="35801"/>
    <n v="1385"/>
  </r>
  <r>
    <x v="42"/>
    <x v="0"/>
    <n v="490"/>
    <n v="29"/>
    <n v="364810"/>
    <n v="1.53"/>
    <n v="49077"/>
    <n v="461"/>
  </r>
  <r>
    <x v="42"/>
    <x v="1"/>
    <n v="609"/>
    <n v="135"/>
    <n v="373606"/>
    <n v="8.52"/>
    <n v="21453"/>
    <n v="474"/>
  </r>
  <r>
    <x v="42"/>
    <x v="2"/>
    <n v="364"/>
    <n v="72"/>
    <n v="211090"/>
    <n v="5.53"/>
    <n v="21061"/>
    <n v="292"/>
  </r>
  <r>
    <x v="42"/>
    <x v="3"/>
    <n v="442"/>
    <n v="53"/>
    <n v="441931"/>
    <n v="1.87"/>
    <n v="20059"/>
    <n v="389"/>
  </r>
  <r>
    <x v="43"/>
    <x v="0"/>
    <n v="1033"/>
    <n v="392"/>
    <n v="282780"/>
    <n v="6.27"/>
    <n v="23140"/>
    <n v="641"/>
  </r>
  <r>
    <x v="43"/>
    <x v="1"/>
    <n v="988"/>
    <n v="474"/>
    <n v="370070"/>
    <n v="9.4600000000000009"/>
    <n v="23461"/>
    <n v="514"/>
  </r>
  <r>
    <x v="43"/>
    <x v="2"/>
    <n v="1946"/>
    <n v="270"/>
    <n v="198350"/>
    <n v="7.5"/>
    <n v="11805"/>
    <n v="1676"/>
  </r>
  <r>
    <x v="43"/>
    <x v="3"/>
    <n v="1957"/>
    <n v="490"/>
    <n v="435726"/>
    <n v="4.7300000000000004"/>
    <n v="15969"/>
    <n v="1467"/>
  </r>
  <r>
    <x v="44"/>
    <x v="0"/>
    <n v="559"/>
    <n v="392"/>
    <n v="78789"/>
    <n v="3.19"/>
    <n v="2436"/>
    <n v="167"/>
  </r>
  <r>
    <x v="44"/>
    <x v="1"/>
    <n v="1307"/>
    <n v="278"/>
    <n v="98596"/>
    <n v="2.4900000000000002"/>
    <n v="47603"/>
    <n v="1029"/>
  </r>
  <r>
    <x v="44"/>
    <x v="2"/>
    <n v="1432"/>
    <n v="425"/>
    <n v="29589"/>
    <n v="4.5"/>
    <n v="42964"/>
    <n v="1007"/>
  </r>
  <r>
    <x v="44"/>
    <x v="3"/>
    <n v="623"/>
    <n v="414"/>
    <n v="290354"/>
    <n v="6.49"/>
    <n v="39923"/>
    <n v="209"/>
  </r>
  <r>
    <x v="45"/>
    <x v="0"/>
    <n v="198"/>
    <n v="358"/>
    <n v="66682"/>
    <n v="6.73"/>
    <n v="2293"/>
    <n v="-160"/>
  </r>
  <r>
    <x v="45"/>
    <x v="1"/>
    <n v="198"/>
    <n v="373"/>
    <n v="70707"/>
    <n v="4.83"/>
    <n v="25920"/>
    <n v="-175"/>
  </r>
  <r>
    <x v="45"/>
    <x v="2"/>
    <n v="353"/>
    <n v="300"/>
    <n v="142507"/>
    <n v="5.3"/>
    <n v="11035"/>
    <n v="53"/>
  </r>
  <r>
    <x v="45"/>
    <x v="3"/>
    <n v="520"/>
    <n v="375"/>
    <n v="369525"/>
    <n v="6.54"/>
    <n v="20733"/>
    <n v="145"/>
  </r>
  <r>
    <x v="46"/>
    <x v="0"/>
    <n v="961"/>
    <n v="358"/>
    <n v="62942"/>
    <n v="6.8"/>
    <n v="18693"/>
    <n v="603"/>
  </r>
  <r>
    <x v="46"/>
    <x v="1"/>
    <n v="1375"/>
    <n v="330"/>
    <n v="377382"/>
    <n v="2.6"/>
    <n v="7875"/>
    <n v="1045"/>
  </r>
  <r>
    <x v="46"/>
    <x v="2"/>
    <n v="1147"/>
    <n v="388"/>
    <n v="333851"/>
    <n v="2.44"/>
    <n v="8471"/>
    <n v="759"/>
  </r>
  <r>
    <x v="46"/>
    <x v="3"/>
    <n v="1707"/>
    <n v="74"/>
    <n v="270958"/>
    <n v="3.09"/>
    <n v="14090"/>
    <n v="1633"/>
  </r>
  <r>
    <x v="47"/>
    <x v="0"/>
    <n v="1693"/>
    <n v="154"/>
    <n v="445944"/>
    <n v="5.69"/>
    <n v="14216"/>
    <n v="1539"/>
  </r>
  <r>
    <x v="47"/>
    <x v="1"/>
    <n v="833"/>
    <n v="380"/>
    <n v="224830"/>
    <n v="3.86"/>
    <n v="3582"/>
    <n v="453"/>
  </r>
  <r>
    <x v="47"/>
    <x v="2"/>
    <n v="1222"/>
    <n v="274"/>
    <n v="487289"/>
    <n v="3.16"/>
    <n v="32500"/>
    <n v="948"/>
  </r>
  <r>
    <x v="47"/>
    <x v="3"/>
    <n v="777"/>
    <n v="140"/>
    <n v="11435"/>
    <n v="1.6"/>
    <n v="6832"/>
    <n v="637"/>
  </r>
  <r>
    <x v="48"/>
    <x v="0"/>
    <n v="1957"/>
    <n v="76"/>
    <n v="447902"/>
    <n v="6.09"/>
    <n v="33381"/>
    <n v="1881"/>
  </r>
  <r>
    <x v="48"/>
    <x v="1"/>
    <n v="405"/>
    <n v="66"/>
    <n v="418696"/>
    <n v="5.59"/>
    <n v="48419"/>
    <n v="339"/>
  </r>
  <r>
    <x v="48"/>
    <x v="2"/>
    <n v="1581"/>
    <n v="71"/>
    <n v="484364"/>
    <n v="3.55"/>
    <n v="16149"/>
    <n v="1510"/>
  </r>
  <r>
    <x v="48"/>
    <x v="3"/>
    <n v="1035"/>
    <n v="171"/>
    <n v="148477"/>
    <n v="5.21"/>
    <n v="7541"/>
    <n v="864"/>
  </r>
  <r>
    <x v="49"/>
    <x v="0"/>
    <n v="1765"/>
    <n v="109"/>
    <n v="468301"/>
    <n v="1.82"/>
    <n v="20042"/>
    <n v="1656"/>
  </r>
  <r>
    <x v="49"/>
    <x v="1"/>
    <n v="837"/>
    <n v="430"/>
    <n v="364820"/>
    <n v="4"/>
    <n v="49400"/>
    <n v="407"/>
  </r>
  <r>
    <x v="49"/>
    <x v="2"/>
    <n v="337"/>
    <n v="68"/>
    <n v="456298"/>
    <n v="7.57"/>
    <n v="4007"/>
    <n v="269"/>
  </r>
  <r>
    <x v="49"/>
    <x v="3"/>
    <n v="119"/>
    <n v="456"/>
    <n v="82558"/>
    <n v="6.81"/>
    <n v="12174"/>
    <n v="-3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F1517D-1DCA-440B-B88A-D7C98FEA450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latforms">
  <location ref="A3:B32" firstHeaderRow="1" firstDataRow="1" firstDataCol="1"/>
  <pivotFields count="14">
    <pivotField showAll="0"/>
    <pivotField axis="axisRow" showAll="0">
      <items count="5">
        <item x="3"/>
        <item x="0"/>
        <item x="1"/>
        <item x="2"/>
        <item t="default"/>
      </items>
    </pivotField>
    <pivotField showAll="0"/>
    <pivotField axis="axisRow" showAll="0" sortType="descending">
      <items count="7">
        <item x="3"/>
        <item x="4"/>
        <item x="1"/>
        <item x="0"/>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numFmtId="10" showAll="0"/>
  </pivotFields>
  <rowFields count="2">
    <field x="1"/>
    <field x="3"/>
  </rowFields>
  <rowItems count="29">
    <i>
      <x/>
    </i>
    <i r="1">
      <x v="3"/>
    </i>
    <i r="1">
      <x v="5"/>
    </i>
    <i r="1">
      <x v="1"/>
    </i>
    <i r="1">
      <x/>
    </i>
    <i r="1">
      <x v="2"/>
    </i>
    <i r="1">
      <x v="4"/>
    </i>
    <i>
      <x v="1"/>
    </i>
    <i r="1">
      <x v="2"/>
    </i>
    <i r="1">
      <x v="3"/>
    </i>
    <i r="1">
      <x v="5"/>
    </i>
    <i r="1">
      <x v="1"/>
    </i>
    <i r="1">
      <x/>
    </i>
    <i r="1">
      <x v="4"/>
    </i>
    <i>
      <x v="2"/>
    </i>
    <i r="1">
      <x v="3"/>
    </i>
    <i r="1">
      <x/>
    </i>
    <i r="1">
      <x v="1"/>
    </i>
    <i r="1">
      <x v="2"/>
    </i>
    <i r="1">
      <x v="4"/>
    </i>
    <i r="1">
      <x v="5"/>
    </i>
    <i>
      <x v="3"/>
    </i>
    <i r="1">
      <x/>
    </i>
    <i r="1">
      <x v="1"/>
    </i>
    <i r="1">
      <x v="5"/>
    </i>
    <i r="1">
      <x v="2"/>
    </i>
    <i r="1">
      <x v="4"/>
    </i>
    <i r="1">
      <x v="3"/>
    </i>
    <i t="grand">
      <x/>
    </i>
  </rowItems>
  <colItems count="1">
    <i/>
  </colItems>
  <dataFields count="1">
    <dataField name="Average of Engagement Rate " fld="13" subtotal="average" baseField="1" baseItem="0" numFmtId="1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FB52E5-F72E-46AD-86A9-C37B418D5B02}"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264" firstHeaderRow="1" firstDataRow="1" firstDataCol="1"/>
  <pivotFields count="11">
    <pivotField axis="axisRow"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items count="5">
        <item x="1"/>
        <item x="0"/>
        <item x="2"/>
        <item x="3"/>
        <item t="default"/>
      </items>
    </pivotField>
    <pivotField numFmtId="1" showAll="0"/>
    <pivotField numFmtId="1" showAll="0"/>
    <pivotField numFmtId="1" showAll="0"/>
    <pivotField numFmtId="1" showAll="0"/>
    <pivotField numFmtId="1" showAll="0"/>
    <pivotField dataField="1" numFmtId="1" showAll="0"/>
    <pivotField numFmtId="1"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4">
    <field x="1"/>
    <field x="10"/>
    <field x="9"/>
    <field x="0"/>
  </rowFields>
  <rowItems count="261">
    <i>
      <x/>
    </i>
    <i r="1">
      <x v="1"/>
    </i>
    <i r="2">
      <x v="6"/>
    </i>
    <i r="3">
      <x/>
    </i>
    <i r="3">
      <x v="1"/>
    </i>
    <i r="3">
      <x v="2"/>
    </i>
    <i r="3">
      <x v="3"/>
    </i>
    <i r="2">
      <x v="7"/>
    </i>
    <i r="3">
      <x v="4"/>
    </i>
    <i r="3">
      <x v="5"/>
    </i>
    <i r="3">
      <x v="6"/>
    </i>
    <i r="3">
      <x v="7"/>
    </i>
    <i r="3">
      <x v="8"/>
    </i>
    <i r="2">
      <x v="8"/>
    </i>
    <i r="3">
      <x v="9"/>
    </i>
    <i r="3">
      <x v="10"/>
    </i>
    <i r="3">
      <x v="11"/>
    </i>
    <i r="3">
      <x v="12"/>
    </i>
    <i r="2">
      <x v="9"/>
    </i>
    <i r="3">
      <x v="13"/>
    </i>
    <i r="3">
      <x v="14"/>
    </i>
    <i r="3">
      <x v="15"/>
    </i>
    <i r="3">
      <x v="16"/>
    </i>
    <i r="3">
      <x v="17"/>
    </i>
    <i r="2">
      <x v="10"/>
    </i>
    <i r="3">
      <x v="18"/>
    </i>
    <i r="3">
      <x v="19"/>
    </i>
    <i r="3">
      <x v="20"/>
    </i>
    <i r="3">
      <x v="21"/>
    </i>
    <i r="2">
      <x v="11"/>
    </i>
    <i r="3">
      <x v="22"/>
    </i>
    <i r="3">
      <x v="23"/>
    </i>
    <i r="3">
      <x v="24"/>
    </i>
    <i r="3">
      <x v="25"/>
    </i>
    <i r="2">
      <x v="12"/>
    </i>
    <i r="3">
      <x v="26"/>
    </i>
    <i r="3">
      <x v="27"/>
    </i>
    <i r="3">
      <x v="28"/>
    </i>
    <i r="3">
      <x v="29"/>
    </i>
    <i r="3">
      <x v="30"/>
    </i>
    <i r="1">
      <x v="2"/>
    </i>
    <i r="2">
      <x v="1"/>
    </i>
    <i r="3">
      <x v="31"/>
    </i>
    <i r="3">
      <x v="32"/>
    </i>
    <i r="3">
      <x v="33"/>
    </i>
    <i r="3">
      <x v="34"/>
    </i>
    <i r="2">
      <x v="2"/>
    </i>
    <i r="3">
      <x v="35"/>
    </i>
    <i r="3">
      <x v="36"/>
    </i>
    <i r="3">
      <x v="37"/>
    </i>
    <i r="3">
      <x v="38"/>
    </i>
    <i r="2">
      <x v="3"/>
    </i>
    <i r="3">
      <x v="39"/>
    </i>
    <i r="3">
      <x v="40"/>
    </i>
    <i r="3">
      <x v="41"/>
    </i>
    <i r="3">
      <x v="42"/>
    </i>
    <i r="3">
      <x v="43"/>
    </i>
    <i r="2">
      <x v="4"/>
    </i>
    <i r="3">
      <x v="44"/>
    </i>
    <i r="3">
      <x v="45"/>
    </i>
    <i r="3">
      <x v="46"/>
    </i>
    <i r="3">
      <x v="47"/>
    </i>
    <i r="2">
      <x v="5"/>
    </i>
    <i r="3">
      <x v="48"/>
    </i>
    <i r="3">
      <x v="49"/>
    </i>
    <i>
      <x v="1"/>
    </i>
    <i r="1">
      <x v="1"/>
    </i>
    <i r="2">
      <x v="6"/>
    </i>
    <i r="3">
      <x/>
    </i>
    <i r="3">
      <x v="1"/>
    </i>
    <i r="3">
      <x v="2"/>
    </i>
    <i r="3">
      <x v="3"/>
    </i>
    <i r="2">
      <x v="7"/>
    </i>
    <i r="3">
      <x v="4"/>
    </i>
    <i r="3">
      <x v="5"/>
    </i>
    <i r="3">
      <x v="6"/>
    </i>
    <i r="3">
      <x v="7"/>
    </i>
    <i r="3">
      <x v="8"/>
    </i>
    <i r="2">
      <x v="8"/>
    </i>
    <i r="3">
      <x v="9"/>
    </i>
    <i r="3">
      <x v="10"/>
    </i>
    <i r="3">
      <x v="11"/>
    </i>
    <i r="3">
      <x v="12"/>
    </i>
    <i r="2">
      <x v="9"/>
    </i>
    <i r="3">
      <x v="13"/>
    </i>
    <i r="3">
      <x v="14"/>
    </i>
    <i r="3">
      <x v="15"/>
    </i>
    <i r="3">
      <x v="16"/>
    </i>
    <i r="3">
      <x v="17"/>
    </i>
    <i r="2">
      <x v="10"/>
    </i>
    <i r="3">
      <x v="18"/>
    </i>
    <i r="3">
      <x v="19"/>
    </i>
    <i r="3">
      <x v="20"/>
    </i>
    <i r="3">
      <x v="21"/>
    </i>
    <i r="2">
      <x v="11"/>
    </i>
    <i r="3">
      <x v="22"/>
    </i>
    <i r="3">
      <x v="23"/>
    </i>
    <i r="3">
      <x v="24"/>
    </i>
    <i r="3">
      <x v="25"/>
    </i>
    <i r="2">
      <x v="12"/>
    </i>
    <i r="3">
      <x v="26"/>
    </i>
    <i r="3">
      <x v="27"/>
    </i>
    <i r="3">
      <x v="28"/>
    </i>
    <i r="3">
      <x v="29"/>
    </i>
    <i r="3">
      <x v="30"/>
    </i>
    <i r="1">
      <x v="2"/>
    </i>
    <i r="2">
      <x v="1"/>
    </i>
    <i r="3">
      <x v="31"/>
    </i>
    <i r="3">
      <x v="32"/>
    </i>
    <i r="3">
      <x v="33"/>
    </i>
    <i r="3">
      <x v="34"/>
    </i>
    <i r="2">
      <x v="2"/>
    </i>
    <i r="3">
      <x v="35"/>
    </i>
    <i r="3">
      <x v="36"/>
    </i>
    <i r="3">
      <x v="37"/>
    </i>
    <i r="3">
      <x v="38"/>
    </i>
    <i r="2">
      <x v="3"/>
    </i>
    <i r="3">
      <x v="39"/>
    </i>
    <i r="3">
      <x v="40"/>
    </i>
    <i r="3">
      <x v="41"/>
    </i>
    <i r="3">
      <x v="42"/>
    </i>
    <i r="3">
      <x v="43"/>
    </i>
    <i r="2">
      <x v="4"/>
    </i>
    <i r="3">
      <x v="44"/>
    </i>
    <i r="3">
      <x v="45"/>
    </i>
    <i r="3">
      <x v="46"/>
    </i>
    <i r="3">
      <x v="47"/>
    </i>
    <i r="2">
      <x v="5"/>
    </i>
    <i r="3">
      <x v="48"/>
    </i>
    <i r="3">
      <x v="49"/>
    </i>
    <i>
      <x v="2"/>
    </i>
    <i r="1">
      <x v="1"/>
    </i>
    <i r="2">
      <x v="6"/>
    </i>
    <i r="3">
      <x/>
    </i>
    <i r="3">
      <x v="1"/>
    </i>
    <i r="3">
      <x v="2"/>
    </i>
    <i r="3">
      <x v="3"/>
    </i>
    <i r="2">
      <x v="7"/>
    </i>
    <i r="3">
      <x v="4"/>
    </i>
    <i r="3">
      <x v="5"/>
    </i>
    <i r="3">
      <x v="6"/>
    </i>
    <i r="3">
      <x v="7"/>
    </i>
    <i r="3">
      <x v="8"/>
    </i>
    <i r="2">
      <x v="8"/>
    </i>
    <i r="3">
      <x v="9"/>
    </i>
    <i r="3">
      <x v="10"/>
    </i>
    <i r="3">
      <x v="11"/>
    </i>
    <i r="3">
      <x v="12"/>
    </i>
    <i r="2">
      <x v="9"/>
    </i>
    <i r="3">
      <x v="13"/>
    </i>
    <i r="3">
      <x v="14"/>
    </i>
    <i r="3">
      <x v="15"/>
    </i>
    <i r="3">
      <x v="16"/>
    </i>
    <i r="3">
      <x v="17"/>
    </i>
    <i r="2">
      <x v="10"/>
    </i>
    <i r="3">
      <x v="18"/>
    </i>
    <i r="3">
      <x v="19"/>
    </i>
    <i r="3">
      <x v="20"/>
    </i>
    <i r="3">
      <x v="21"/>
    </i>
    <i r="2">
      <x v="11"/>
    </i>
    <i r="3">
      <x v="22"/>
    </i>
    <i r="3">
      <x v="23"/>
    </i>
    <i r="3">
      <x v="24"/>
    </i>
    <i r="3">
      <x v="25"/>
    </i>
    <i r="2">
      <x v="12"/>
    </i>
    <i r="3">
      <x v="26"/>
    </i>
    <i r="3">
      <x v="27"/>
    </i>
    <i r="3">
      <x v="28"/>
    </i>
    <i r="3">
      <x v="29"/>
    </i>
    <i r="3">
      <x v="30"/>
    </i>
    <i r="1">
      <x v="2"/>
    </i>
    <i r="2">
      <x v="1"/>
    </i>
    <i r="3">
      <x v="31"/>
    </i>
    <i r="3">
      <x v="32"/>
    </i>
    <i r="3">
      <x v="33"/>
    </i>
    <i r="3">
      <x v="34"/>
    </i>
    <i r="2">
      <x v="2"/>
    </i>
    <i r="3">
      <x v="35"/>
    </i>
    <i r="3">
      <x v="36"/>
    </i>
    <i r="3">
      <x v="37"/>
    </i>
    <i r="3">
      <x v="38"/>
    </i>
    <i r="2">
      <x v="3"/>
    </i>
    <i r="3">
      <x v="39"/>
    </i>
    <i r="3">
      <x v="40"/>
    </i>
    <i r="3">
      <x v="41"/>
    </i>
    <i r="3">
      <x v="42"/>
    </i>
    <i r="3">
      <x v="43"/>
    </i>
    <i r="2">
      <x v="4"/>
    </i>
    <i r="3">
      <x v="44"/>
    </i>
    <i r="3">
      <x v="45"/>
    </i>
    <i r="3">
      <x v="46"/>
    </i>
    <i r="3">
      <x v="47"/>
    </i>
    <i r="2">
      <x v="5"/>
    </i>
    <i r="3">
      <x v="48"/>
    </i>
    <i r="3">
      <x v="49"/>
    </i>
    <i>
      <x v="3"/>
    </i>
    <i r="1">
      <x v="1"/>
    </i>
    <i r="2">
      <x v="6"/>
    </i>
    <i r="3">
      <x/>
    </i>
    <i r="3">
      <x v="1"/>
    </i>
    <i r="3">
      <x v="2"/>
    </i>
    <i r="3">
      <x v="3"/>
    </i>
    <i r="2">
      <x v="7"/>
    </i>
    <i r="3">
      <x v="4"/>
    </i>
    <i r="3">
      <x v="5"/>
    </i>
    <i r="3">
      <x v="6"/>
    </i>
    <i r="3">
      <x v="7"/>
    </i>
    <i r="3">
      <x v="8"/>
    </i>
    <i r="2">
      <x v="8"/>
    </i>
    <i r="3">
      <x v="9"/>
    </i>
    <i r="3">
      <x v="10"/>
    </i>
    <i r="3">
      <x v="11"/>
    </i>
    <i r="3">
      <x v="12"/>
    </i>
    <i r="2">
      <x v="9"/>
    </i>
    <i r="3">
      <x v="13"/>
    </i>
    <i r="3">
      <x v="14"/>
    </i>
    <i r="3">
      <x v="15"/>
    </i>
    <i r="3">
      <x v="16"/>
    </i>
    <i r="3">
      <x v="17"/>
    </i>
    <i r="2">
      <x v="10"/>
    </i>
    <i r="3">
      <x v="18"/>
    </i>
    <i r="3">
      <x v="19"/>
    </i>
    <i r="3">
      <x v="20"/>
    </i>
    <i r="3">
      <x v="21"/>
    </i>
    <i r="2">
      <x v="11"/>
    </i>
    <i r="3">
      <x v="22"/>
    </i>
    <i r="3">
      <x v="23"/>
    </i>
    <i r="3">
      <x v="24"/>
    </i>
    <i r="3">
      <x v="25"/>
    </i>
    <i r="2">
      <x v="12"/>
    </i>
    <i r="3">
      <x v="26"/>
    </i>
    <i r="3">
      <x v="27"/>
    </i>
    <i r="3">
      <x v="28"/>
    </i>
    <i r="3">
      <x v="29"/>
    </i>
    <i r="3">
      <x v="30"/>
    </i>
    <i r="1">
      <x v="2"/>
    </i>
    <i r="2">
      <x v="1"/>
    </i>
    <i r="3">
      <x v="31"/>
    </i>
    <i r="3">
      <x v="32"/>
    </i>
    <i r="3">
      <x v="33"/>
    </i>
    <i r="3">
      <x v="34"/>
    </i>
    <i r="2">
      <x v="2"/>
    </i>
    <i r="3">
      <x v="35"/>
    </i>
    <i r="3">
      <x v="36"/>
    </i>
    <i r="3">
      <x v="37"/>
    </i>
    <i r="3">
      <x v="38"/>
    </i>
    <i r="2">
      <x v="3"/>
    </i>
    <i r="3">
      <x v="39"/>
    </i>
    <i r="3">
      <x v="40"/>
    </i>
    <i r="3">
      <x v="41"/>
    </i>
    <i r="3">
      <x v="42"/>
    </i>
    <i r="3">
      <x v="43"/>
    </i>
    <i r="2">
      <x v="4"/>
    </i>
    <i r="3">
      <x v="44"/>
    </i>
    <i r="3">
      <x v="45"/>
    </i>
    <i r="3">
      <x v="46"/>
    </i>
    <i r="3">
      <x v="47"/>
    </i>
    <i r="2">
      <x v="5"/>
    </i>
    <i r="3">
      <x v="48"/>
    </i>
    <i r="3">
      <x v="49"/>
    </i>
    <i t="grand">
      <x/>
    </i>
  </rowItems>
  <colItems count="1">
    <i/>
  </colItems>
  <dataFields count="1">
    <dataField name="Sum of Net Followers" fld="7" baseField="0" baseItem="0" numFmtId="1"/>
  </dataFields>
  <formats count="3">
    <format dxfId="0">
      <pivotArea field="1" type="button" dataOnly="0" labelOnly="1" outline="0" axis="axisRow" fieldPosition="0"/>
    </format>
    <format dxfId="1">
      <pivotArea dataOnly="0" labelOnly="1" fieldPosition="0">
        <references count="1">
          <reference field="1" count="0"/>
        </references>
      </pivotArea>
    </format>
    <format dxfId="2">
      <pivotArea dataOnly="0" labelOnly="1" grandRow="1" outline="0" fieldPosition="0"/>
    </format>
  </formats>
  <chartFormats count="5">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87C96B-794E-4A77-AE72-0CBFBD5CA810}"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latforms">
  <location ref="A3:C8" firstHeaderRow="0" firstDataRow="1" firstDataCol="1"/>
  <pivotFields count="10">
    <pivotField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sortType="descending">
      <items count="5">
        <item x="1"/>
        <item x="0"/>
        <item x="2"/>
        <item x="3"/>
        <item t="default"/>
      </items>
      <autoSortScope>
        <pivotArea dataOnly="0" outline="0" fieldPosition="0">
          <references count="1">
            <reference field="4294967294" count="1" selected="0">
              <x v="1"/>
            </reference>
          </references>
        </pivotArea>
      </autoSortScope>
    </pivotField>
    <pivotField numFmtId="1" showAll="0"/>
    <pivotField numFmtId="1" showAll="0"/>
    <pivotField numFmtId="1" showAll="0"/>
    <pivotField dataField="1" numFmtId="1" showAll="0"/>
    <pivotField dataField="1" numFmtId="1"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0"/>
        <item x="1"/>
        <item x="2"/>
        <item x="3"/>
        <item t="default"/>
      </items>
    </pivotField>
  </pivotFields>
  <rowFields count="1">
    <field x="1"/>
  </rowFields>
  <rowItems count="5">
    <i>
      <x/>
    </i>
    <i>
      <x v="3"/>
    </i>
    <i>
      <x v="1"/>
    </i>
    <i>
      <x v="2"/>
    </i>
    <i t="grand">
      <x/>
    </i>
  </rowItems>
  <colFields count="1">
    <field x="-2"/>
  </colFields>
  <colItems count="2">
    <i>
      <x/>
    </i>
    <i i="1">
      <x v="1"/>
    </i>
  </colItems>
  <dataFields count="2">
    <dataField name="Average of Engagement_Rate" fld="5" subtotal="average" baseField="1" baseItem="0" numFmtId="1"/>
    <dataField name="Sum of Ad_Spend" fld="6" baseField="1" baseItem="0" numFmtId="1"/>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1A2CA-0428-4016-B1B5-C66BA0D3FC0D}">
  <dimension ref="A3:AB67"/>
  <sheetViews>
    <sheetView tabSelected="1" workbookViewId="0">
      <selection activeCell="L23" sqref="L23"/>
    </sheetView>
  </sheetViews>
  <sheetFormatPr defaultRowHeight="14.4" x14ac:dyDescent="0.3"/>
  <cols>
    <col min="1" max="1" width="12.21875" bestFit="1" customWidth="1"/>
    <col min="2" max="2" width="27" bestFit="1" customWidth="1"/>
  </cols>
  <sheetData>
    <row r="3" spans="1:2" x14ac:dyDescent="0.3">
      <c r="A3" s="5" t="s">
        <v>2</v>
      </c>
      <c r="B3" t="s">
        <v>0</v>
      </c>
    </row>
    <row r="4" spans="1:2" x14ac:dyDescent="0.3">
      <c r="A4" s="1" t="s">
        <v>3</v>
      </c>
      <c r="B4" s="2">
        <v>1.2197289956132557E-3</v>
      </c>
    </row>
    <row r="5" spans="1:2" x14ac:dyDescent="0.3">
      <c r="A5" s="6" t="s">
        <v>4</v>
      </c>
      <c r="B5" s="2">
        <v>1.5898977777988454E-3</v>
      </c>
    </row>
    <row r="6" spans="1:2" x14ac:dyDescent="0.3">
      <c r="A6" s="6" t="s">
        <v>5</v>
      </c>
      <c r="B6" s="2">
        <v>1.2899653614759149E-3</v>
      </c>
    </row>
    <row r="7" spans="1:2" x14ac:dyDescent="0.3">
      <c r="A7" s="6" t="s">
        <v>6</v>
      </c>
      <c r="B7" s="2">
        <v>1.1892682975133068E-3</v>
      </c>
    </row>
    <row r="8" spans="1:2" x14ac:dyDescent="0.3">
      <c r="A8" s="6" t="s">
        <v>7</v>
      </c>
      <c r="B8" s="2">
        <v>1.1820589815604368E-3</v>
      </c>
    </row>
    <row r="9" spans="1:2" x14ac:dyDescent="0.3">
      <c r="A9" s="6" t="s">
        <v>8</v>
      </c>
      <c r="B9" s="2">
        <v>1.0810248159985611E-3</v>
      </c>
    </row>
    <row r="10" spans="1:2" x14ac:dyDescent="0.3">
      <c r="A10" s="6" t="s">
        <v>9</v>
      </c>
      <c r="B10" s="2">
        <v>1.0743951285512839E-3</v>
      </c>
    </row>
    <row r="11" spans="1:2" x14ac:dyDescent="0.3">
      <c r="A11" s="1" t="s">
        <v>10</v>
      </c>
      <c r="B11" s="2">
        <v>1.9329257693923476E-3</v>
      </c>
    </row>
    <row r="12" spans="1:2" x14ac:dyDescent="0.3">
      <c r="A12" s="6" t="s">
        <v>8</v>
      </c>
      <c r="B12" s="2">
        <v>2.6004033206333968E-3</v>
      </c>
    </row>
    <row r="13" spans="1:2" x14ac:dyDescent="0.3">
      <c r="A13" s="6" t="s">
        <v>4</v>
      </c>
      <c r="B13" s="2">
        <v>2.4558274253543631E-3</v>
      </c>
    </row>
    <row r="14" spans="1:2" x14ac:dyDescent="0.3">
      <c r="A14" s="6" t="s">
        <v>5</v>
      </c>
      <c r="B14" s="2">
        <v>2.0623960616405414E-3</v>
      </c>
    </row>
    <row r="15" spans="1:2" x14ac:dyDescent="0.3">
      <c r="A15" s="6" t="s">
        <v>6</v>
      </c>
      <c r="B15" s="2">
        <v>1.492986248402529E-3</v>
      </c>
    </row>
    <row r="16" spans="1:2" x14ac:dyDescent="0.3">
      <c r="A16" s="6" t="s">
        <v>7</v>
      </c>
      <c r="B16" s="2">
        <v>1.4439860032256029E-3</v>
      </c>
    </row>
    <row r="17" spans="1:2" x14ac:dyDescent="0.3">
      <c r="A17" s="6" t="s">
        <v>9</v>
      </c>
      <c r="B17" s="2">
        <v>1.2920449104190182E-3</v>
      </c>
    </row>
    <row r="18" spans="1:2" x14ac:dyDescent="0.3">
      <c r="A18" s="1" t="s">
        <v>11</v>
      </c>
      <c r="B18" s="2">
        <v>1.4368407434207889E-3</v>
      </c>
    </row>
    <row r="19" spans="1:2" x14ac:dyDescent="0.3">
      <c r="A19" s="6" t="s">
        <v>4</v>
      </c>
      <c r="B19" s="2">
        <v>1.8859716943319419E-3</v>
      </c>
    </row>
    <row r="20" spans="1:2" x14ac:dyDescent="0.3">
      <c r="A20" s="6" t="s">
        <v>7</v>
      </c>
      <c r="B20" s="2">
        <v>1.5972488239914529E-3</v>
      </c>
    </row>
    <row r="21" spans="1:2" x14ac:dyDescent="0.3">
      <c r="A21" s="6" t="s">
        <v>6</v>
      </c>
      <c r="B21" s="2">
        <v>1.475664819137731E-3</v>
      </c>
    </row>
    <row r="22" spans="1:2" x14ac:dyDescent="0.3">
      <c r="A22" s="6" t="s">
        <v>8</v>
      </c>
      <c r="B22" s="2">
        <v>1.2428081569427864E-3</v>
      </c>
    </row>
    <row r="23" spans="1:2" x14ac:dyDescent="0.3">
      <c r="A23" s="6" t="s">
        <v>9</v>
      </c>
      <c r="B23" s="2">
        <v>1.2088972902726508E-3</v>
      </c>
    </row>
    <row r="24" spans="1:2" x14ac:dyDescent="0.3">
      <c r="A24" s="6" t="s">
        <v>5</v>
      </c>
      <c r="B24" s="2">
        <v>1.1980876658677889E-3</v>
      </c>
    </row>
    <row r="25" spans="1:2" x14ac:dyDescent="0.3">
      <c r="A25" s="1" t="s">
        <v>12</v>
      </c>
      <c r="B25" s="2">
        <v>1.3118493770753808E-3</v>
      </c>
    </row>
    <row r="26" spans="1:2" x14ac:dyDescent="0.3">
      <c r="A26" s="6" t="s">
        <v>7</v>
      </c>
      <c r="B26" s="2">
        <v>1.7416554369953546E-3</v>
      </c>
    </row>
    <row r="27" spans="1:2" x14ac:dyDescent="0.3">
      <c r="A27" s="6" t="s">
        <v>6</v>
      </c>
      <c r="B27" s="2">
        <v>1.5035567844671382E-3</v>
      </c>
    </row>
    <row r="28" spans="1:2" x14ac:dyDescent="0.3">
      <c r="A28" s="6" t="s">
        <v>5</v>
      </c>
      <c r="B28" s="2">
        <v>1.2968338256813224E-3</v>
      </c>
    </row>
    <row r="29" spans="1:2" x14ac:dyDescent="0.3">
      <c r="A29" s="6" t="s">
        <v>8</v>
      </c>
      <c r="B29" s="2">
        <v>1.1688583584797581E-3</v>
      </c>
    </row>
    <row r="30" spans="1:2" x14ac:dyDescent="0.3">
      <c r="A30" s="6" t="s">
        <v>9</v>
      </c>
      <c r="B30" s="2">
        <v>1.1459217612964398E-3</v>
      </c>
    </row>
    <row r="31" spans="1:2" x14ac:dyDescent="0.3">
      <c r="A31" s="6" t="s">
        <v>4</v>
      </c>
      <c r="B31" s="2">
        <v>9.4965330348360777E-4</v>
      </c>
    </row>
    <row r="32" spans="1:2" x14ac:dyDescent="0.3">
      <c r="A32" s="1" t="s">
        <v>1</v>
      </c>
      <c r="B32" s="2">
        <v>1.4828272479852867E-3</v>
      </c>
    </row>
    <row r="56" spans="1:28" ht="19.8" x14ac:dyDescent="0.4">
      <c r="A56" s="7" t="s">
        <v>13</v>
      </c>
      <c r="B56" s="8"/>
      <c r="C56" s="8"/>
      <c r="D56" s="8"/>
      <c r="E56" s="8"/>
      <c r="F56" s="8"/>
      <c r="G56" s="8"/>
      <c r="H56" s="8"/>
      <c r="I56" s="8"/>
      <c r="J56" s="8"/>
      <c r="K56" s="8"/>
      <c r="L56" s="8"/>
    </row>
    <row r="57" spans="1:28" ht="16.2" x14ac:dyDescent="0.3">
      <c r="A57" s="9" t="s">
        <v>14</v>
      </c>
      <c r="B57" s="9"/>
      <c r="C57" s="9"/>
      <c r="D57" s="9"/>
      <c r="E57" s="9"/>
      <c r="F57" s="9"/>
      <c r="G57" s="9"/>
      <c r="H57" s="9"/>
      <c r="I57" s="9"/>
      <c r="J57" s="9"/>
      <c r="K57" s="9"/>
      <c r="L57" s="9"/>
      <c r="M57" s="9"/>
      <c r="N57" s="9"/>
      <c r="O57" s="9"/>
      <c r="P57" s="9"/>
      <c r="Q57" s="9"/>
      <c r="R57" s="9"/>
      <c r="S57" s="9"/>
      <c r="T57" s="9"/>
      <c r="U57" s="9"/>
      <c r="V57" s="9"/>
      <c r="W57" s="9"/>
      <c r="X57" s="9"/>
      <c r="Y57" s="9"/>
      <c r="Z57" s="9"/>
      <c r="AA57" s="9"/>
      <c r="AB57" s="9"/>
    </row>
    <row r="58" spans="1:28" ht="16.2" x14ac:dyDescent="0.3">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row>
    <row r="59" spans="1:28" ht="16.2" x14ac:dyDescent="0.3">
      <c r="A59" s="9" t="s">
        <v>15</v>
      </c>
      <c r="B59" s="9"/>
      <c r="C59" s="9"/>
      <c r="D59" s="9"/>
      <c r="E59" s="9"/>
      <c r="F59" s="9"/>
      <c r="G59" s="9"/>
      <c r="H59" s="9"/>
      <c r="I59" s="9"/>
      <c r="J59" s="9"/>
      <c r="K59" s="9"/>
      <c r="L59" s="9"/>
      <c r="M59" s="9"/>
      <c r="N59" s="9"/>
      <c r="O59" s="9"/>
      <c r="P59" s="9"/>
      <c r="Q59" s="9"/>
      <c r="R59" s="9"/>
      <c r="S59" s="9"/>
      <c r="T59" s="9"/>
      <c r="U59" s="9"/>
      <c r="V59" s="9"/>
      <c r="W59" s="9"/>
      <c r="X59" s="9"/>
      <c r="Y59" s="9"/>
      <c r="Z59" s="9"/>
      <c r="AA59" s="9"/>
      <c r="AB59" s="9"/>
    </row>
    <row r="60" spans="1:28" ht="16.2" x14ac:dyDescent="0.3">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row>
    <row r="61" spans="1:28" ht="16.2" x14ac:dyDescent="0.3">
      <c r="A61" s="9" t="s">
        <v>16</v>
      </c>
      <c r="B61" s="9"/>
      <c r="C61" s="9"/>
      <c r="D61" s="9"/>
      <c r="E61" s="9"/>
      <c r="F61" s="9"/>
      <c r="G61" s="9"/>
      <c r="H61" s="9"/>
      <c r="I61" s="9"/>
      <c r="J61" s="9"/>
      <c r="K61" s="9"/>
      <c r="L61" s="9"/>
      <c r="M61" s="9"/>
      <c r="N61" s="9"/>
      <c r="O61" s="9"/>
      <c r="P61" s="9"/>
      <c r="Q61" s="9"/>
      <c r="R61" s="9"/>
      <c r="S61" s="9"/>
      <c r="T61" s="9"/>
      <c r="U61" s="9"/>
      <c r="V61" s="9"/>
      <c r="W61" s="9"/>
      <c r="X61" s="9"/>
      <c r="Y61" s="9"/>
      <c r="Z61" s="9"/>
      <c r="AA61" s="9"/>
      <c r="AB61" s="9"/>
    </row>
    <row r="63" spans="1:28" ht="16.2" x14ac:dyDescent="0.3">
      <c r="A63" s="9" t="s">
        <v>17</v>
      </c>
      <c r="B63" s="9"/>
      <c r="C63" s="9"/>
      <c r="D63" s="9"/>
      <c r="E63" s="9"/>
      <c r="F63" s="9"/>
      <c r="G63" s="9"/>
      <c r="H63" s="9"/>
      <c r="I63" s="9"/>
      <c r="J63" s="9"/>
      <c r="K63" s="9"/>
      <c r="L63" s="9"/>
      <c r="M63" s="9"/>
      <c r="N63" s="9"/>
      <c r="O63" s="9"/>
    </row>
    <row r="64" spans="1:28" ht="16.2" x14ac:dyDescent="0.3">
      <c r="A64" s="9"/>
      <c r="B64" s="9"/>
      <c r="C64" s="9"/>
      <c r="D64" s="9"/>
      <c r="E64" s="9"/>
      <c r="F64" s="9"/>
      <c r="G64" s="9"/>
      <c r="H64" s="9"/>
      <c r="I64" s="9"/>
      <c r="J64" s="9"/>
      <c r="K64" s="9"/>
      <c r="L64" s="9"/>
      <c r="M64" s="9"/>
      <c r="N64" s="9"/>
      <c r="O64" s="9"/>
    </row>
    <row r="65" spans="1:15" ht="16.2" x14ac:dyDescent="0.3">
      <c r="A65" s="9" t="s">
        <v>18</v>
      </c>
      <c r="B65" s="9"/>
      <c r="C65" s="9"/>
      <c r="D65" s="9"/>
      <c r="E65" s="9"/>
      <c r="F65" s="9"/>
      <c r="G65" s="9"/>
      <c r="H65" s="9"/>
      <c r="I65" s="9"/>
      <c r="J65" s="9"/>
      <c r="K65" s="9"/>
      <c r="L65" s="9"/>
      <c r="M65" s="9"/>
      <c r="N65" s="9"/>
      <c r="O65" s="9"/>
    </row>
    <row r="66" spans="1:15" ht="16.2" x14ac:dyDescent="0.3">
      <c r="A66" s="9"/>
      <c r="B66" s="9"/>
      <c r="C66" s="9"/>
      <c r="D66" s="9"/>
      <c r="E66" s="9"/>
      <c r="F66" s="9"/>
      <c r="G66" s="9"/>
      <c r="H66" s="9"/>
      <c r="I66" s="9"/>
      <c r="J66" s="9"/>
      <c r="K66" s="9"/>
      <c r="L66" s="9"/>
      <c r="M66" s="9"/>
      <c r="N66" s="9"/>
      <c r="O66" s="9"/>
    </row>
    <row r="67" spans="1:15" ht="16.2" x14ac:dyDescent="0.3">
      <c r="A67" s="9" t="s">
        <v>19</v>
      </c>
      <c r="B67" s="9"/>
      <c r="C67" s="9"/>
      <c r="D67" s="9"/>
      <c r="E67" s="9"/>
      <c r="F67" s="9"/>
      <c r="G67" s="9"/>
      <c r="H67" s="9"/>
      <c r="I67" s="9"/>
      <c r="J67" s="9"/>
      <c r="K67" s="9"/>
      <c r="L67" s="9"/>
      <c r="M67" s="9"/>
      <c r="N67" s="9"/>
      <c r="O67" s="9"/>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A2F73-23EA-49EB-8C62-2323276DC3CC}">
  <dimension ref="A3:AF264"/>
  <sheetViews>
    <sheetView showGridLines="0" zoomScale="62" workbookViewId="0">
      <selection activeCell="M13" sqref="M13"/>
    </sheetView>
  </sheetViews>
  <sheetFormatPr defaultRowHeight="14.4" x14ac:dyDescent="0.3"/>
  <cols>
    <col min="1" max="1" width="19.6640625" style="10" bestFit="1" customWidth="1"/>
    <col min="2" max="2" width="25.33203125" bestFit="1" customWidth="1"/>
  </cols>
  <sheetData>
    <row r="3" spans="1:2" x14ac:dyDescent="0.3">
      <c r="A3" s="18" t="s">
        <v>20</v>
      </c>
      <c r="B3" t="s">
        <v>21</v>
      </c>
    </row>
    <row r="4" spans="1:2" x14ac:dyDescent="0.3">
      <c r="A4" s="11" t="s">
        <v>3</v>
      </c>
      <c r="B4" s="12">
        <v>35557</v>
      </c>
    </row>
    <row r="5" spans="1:2" x14ac:dyDescent="0.3">
      <c r="A5" s="6" t="s">
        <v>22</v>
      </c>
      <c r="B5" s="12">
        <v>22366</v>
      </c>
    </row>
    <row r="6" spans="1:2" x14ac:dyDescent="0.3">
      <c r="A6" s="13" t="s">
        <v>23</v>
      </c>
      <c r="B6" s="12">
        <v>5337</v>
      </c>
    </row>
    <row r="7" spans="1:2" x14ac:dyDescent="0.3">
      <c r="A7" s="14">
        <v>45446</v>
      </c>
      <c r="B7" s="12">
        <v>1002</v>
      </c>
    </row>
    <row r="8" spans="1:2" x14ac:dyDescent="0.3">
      <c r="A8" s="14">
        <v>45453</v>
      </c>
      <c r="B8" s="12">
        <v>1283</v>
      </c>
    </row>
    <row r="9" spans="1:2" x14ac:dyDescent="0.3">
      <c r="A9" s="14">
        <v>45460</v>
      </c>
      <c r="B9" s="12">
        <v>1382</v>
      </c>
    </row>
    <row r="10" spans="1:2" x14ac:dyDescent="0.3">
      <c r="A10" s="14">
        <v>45467</v>
      </c>
      <c r="B10" s="12">
        <v>1670</v>
      </c>
    </row>
    <row r="11" spans="1:2" x14ac:dyDescent="0.3">
      <c r="A11" s="13" t="s">
        <v>24</v>
      </c>
      <c r="B11" s="12">
        <v>852</v>
      </c>
    </row>
    <row r="12" spans="1:2" x14ac:dyDescent="0.3">
      <c r="A12" s="14">
        <v>45474</v>
      </c>
      <c r="B12" s="12">
        <v>64</v>
      </c>
    </row>
    <row r="13" spans="1:2" x14ac:dyDescent="0.3">
      <c r="A13" s="14">
        <v>45481</v>
      </c>
      <c r="B13" s="12">
        <v>309</v>
      </c>
    </row>
    <row r="14" spans="1:2" x14ac:dyDescent="0.3">
      <c r="A14" s="14">
        <v>45488</v>
      </c>
      <c r="B14" s="12">
        <v>-164</v>
      </c>
    </row>
    <row r="15" spans="1:2" x14ac:dyDescent="0.3">
      <c r="A15" s="14">
        <v>45495</v>
      </c>
      <c r="B15" s="12">
        <v>961</v>
      </c>
    </row>
    <row r="16" spans="1:2" x14ac:dyDescent="0.3">
      <c r="A16" s="14">
        <v>45502</v>
      </c>
      <c r="B16" s="12">
        <v>-318</v>
      </c>
    </row>
    <row r="17" spans="1:2" x14ac:dyDescent="0.3">
      <c r="A17" s="13" t="s">
        <v>25</v>
      </c>
      <c r="B17" s="12">
        <v>2232</v>
      </c>
    </row>
    <row r="18" spans="1:2" x14ac:dyDescent="0.3">
      <c r="A18" s="14">
        <v>45509</v>
      </c>
      <c r="B18" s="12">
        <v>-197</v>
      </c>
    </row>
    <row r="19" spans="1:2" x14ac:dyDescent="0.3">
      <c r="A19" s="14">
        <v>45516</v>
      </c>
      <c r="B19" s="12">
        <v>1334</v>
      </c>
    </row>
    <row r="20" spans="1:2" x14ac:dyDescent="0.3">
      <c r="A20" s="14">
        <v>45523</v>
      </c>
      <c r="B20" s="12">
        <v>1058</v>
      </c>
    </row>
    <row r="21" spans="1:2" x14ac:dyDescent="0.3">
      <c r="A21" s="14">
        <v>45530</v>
      </c>
      <c r="B21" s="12">
        <v>37</v>
      </c>
    </row>
    <row r="22" spans="1:2" x14ac:dyDescent="0.3">
      <c r="A22" s="13" t="s">
        <v>26</v>
      </c>
      <c r="B22" s="12">
        <v>2373</v>
      </c>
    </row>
    <row r="23" spans="1:2" x14ac:dyDescent="0.3">
      <c r="A23" s="14">
        <v>45537</v>
      </c>
      <c r="B23" s="12">
        <v>1045</v>
      </c>
    </row>
    <row r="24" spans="1:2" x14ac:dyDescent="0.3">
      <c r="A24" s="14">
        <v>45544</v>
      </c>
      <c r="B24" s="12">
        <v>1428</v>
      </c>
    </row>
    <row r="25" spans="1:2" x14ac:dyDescent="0.3">
      <c r="A25" s="14">
        <v>45551</v>
      </c>
      <c r="B25" s="12">
        <v>98</v>
      </c>
    </row>
    <row r="26" spans="1:2" x14ac:dyDescent="0.3">
      <c r="A26" s="14">
        <v>45558</v>
      </c>
      <c r="B26" s="12">
        <v>-19</v>
      </c>
    </row>
    <row r="27" spans="1:2" x14ac:dyDescent="0.3">
      <c r="A27" s="14">
        <v>45565</v>
      </c>
      <c r="B27" s="12">
        <v>-179</v>
      </c>
    </row>
    <row r="28" spans="1:2" x14ac:dyDescent="0.3">
      <c r="A28" s="13" t="s">
        <v>27</v>
      </c>
      <c r="B28" s="12">
        <v>2772</v>
      </c>
    </row>
    <row r="29" spans="1:2" x14ac:dyDescent="0.3">
      <c r="A29" s="14">
        <v>45572</v>
      </c>
      <c r="B29" s="12">
        <v>1662</v>
      </c>
    </row>
    <row r="30" spans="1:2" x14ac:dyDescent="0.3">
      <c r="A30" s="14">
        <v>45579</v>
      </c>
      <c r="B30" s="12">
        <v>285</v>
      </c>
    </row>
    <row r="31" spans="1:2" x14ac:dyDescent="0.3">
      <c r="A31" s="14">
        <v>45586</v>
      </c>
      <c r="B31" s="12">
        <v>439</v>
      </c>
    </row>
    <row r="32" spans="1:2" x14ac:dyDescent="0.3">
      <c r="A32" s="14">
        <v>45593</v>
      </c>
      <c r="B32" s="12">
        <v>386</v>
      </c>
    </row>
    <row r="33" spans="1:12" x14ac:dyDescent="0.3">
      <c r="A33" s="13" t="s">
        <v>28</v>
      </c>
      <c r="B33" s="12">
        <v>1838</v>
      </c>
    </row>
    <row r="34" spans="1:12" x14ac:dyDescent="0.3">
      <c r="A34" s="14">
        <v>45600</v>
      </c>
      <c r="B34" s="12">
        <v>540</v>
      </c>
    </row>
    <row r="35" spans="1:12" x14ac:dyDescent="0.3">
      <c r="A35" s="14">
        <v>45607</v>
      </c>
      <c r="B35" s="12">
        <v>-106</v>
      </c>
    </row>
    <row r="36" spans="1:12" x14ac:dyDescent="0.3">
      <c r="A36" s="14">
        <v>45614</v>
      </c>
      <c r="B36" s="12">
        <v>72</v>
      </c>
    </row>
    <row r="37" spans="1:12" x14ac:dyDescent="0.3">
      <c r="A37" s="14">
        <v>45621</v>
      </c>
      <c r="B37" s="12">
        <v>1332</v>
      </c>
    </row>
    <row r="38" spans="1:12" x14ac:dyDescent="0.3">
      <c r="A38" s="13" t="s">
        <v>29</v>
      </c>
      <c r="B38" s="12">
        <v>6962</v>
      </c>
    </row>
    <row r="39" spans="1:12" x14ac:dyDescent="0.3">
      <c r="A39" s="14">
        <v>45628</v>
      </c>
      <c r="B39" s="12">
        <v>1706</v>
      </c>
    </row>
    <row r="40" spans="1:12" x14ac:dyDescent="0.3">
      <c r="A40" s="14">
        <v>45635</v>
      </c>
      <c r="B40" s="12">
        <v>1373</v>
      </c>
    </row>
    <row r="41" spans="1:12" x14ac:dyDescent="0.3">
      <c r="A41" s="14">
        <v>45642</v>
      </c>
      <c r="B41" s="12">
        <v>1377</v>
      </c>
    </row>
    <row r="42" spans="1:12" ht="31.2" x14ac:dyDescent="0.6">
      <c r="A42" s="14">
        <v>45649</v>
      </c>
      <c r="B42" s="12">
        <v>730</v>
      </c>
      <c r="H42" s="15" t="s">
        <v>30</v>
      </c>
    </row>
    <row r="43" spans="1:12" x14ac:dyDescent="0.3">
      <c r="A43" s="14">
        <v>45656</v>
      </c>
      <c r="B43" s="12">
        <v>1776</v>
      </c>
    </row>
    <row r="44" spans="1:12" x14ac:dyDescent="0.3">
      <c r="A44" s="6" t="s">
        <v>31</v>
      </c>
      <c r="B44" s="12">
        <v>13191</v>
      </c>
    </row>
    <row r="45" spans="1:12" x14ac:dyDescent="0.3">
      <c r="A45" s="13" t="s">
        <v>32</v>
      </c>
      <c r="B45" s="12">
        <v>2243</v>
      </c>
    </row>
    <row r="46" spans="1:12" x14ac:dyDescent="0.3">
      <c r="A46" s="14">
        <v>45663</v>
      </c>
      <c r="B46" s="12">
        <v>620</v>
      </c>
    </row>
    <row r="47" spans="1:12" ht="15.6" x14ac:dyDescent="0.3">
      <c r="A47" s="14">
        <v>45670</v>
      </c>
      <c r="B47" s="12">
        <v>298</v>
      </c>
      <c r="I47" s="16" t="s">
        <v>33</v>
      </c>
      <c r="J47" s="16"/>
      <c r="K47" s="16"/>
      <c r="L47" s="16">
        <f>_xlfn.XLOOKUP(A54,A:A,B:B)</f>
        <v>1707</v>
      </c>
    </row>
    <row r="48" spans="1:12" ht="15.6" x14ac:dyDescent="0.3">
      <c r="A48" s="14">
        <v>45677</v>
      </c>
      <c r="B48" s="12">
        <v>427</v>
      </c>
      <c r="I48" s="16"/>
      <c r="J48" s="16"/>
      <c r="K48" s="16"/>
      <c r="L48" s="16"/>
    </row>
    <row r="49" spans="1:12" ht="15.6" x14ac:dyDescent="0.3">
      <c r="A49" s="14">
        <v>45684</v>
      </c>
      <c r="B49" s="12">
        <v>898</v>
      </c>
      <c r="I49" s="16"/>
      <c r="J49" s="16"/>
      <c r="K49" s="16"/>
      <c r="L49" s="16"/>
    </row>
    <row r="50" spans="1:12" ht="15.6" x14ac:dyDescent="0.3">
      <c r="A50" s="13" t="s">
        <v>34</v>
      </c>
      <c r="B50" s="12">
        <v>4957</v>
      </c>
      <c r="I50" s="16" t="s">
        <v>35</v>
      </c>
      <c r="J50" s="16"/>
      <c r="K50" s="16"/>
      <c r="L50" s="16">
        <f>_xlfn.XLOOKUP(A105,A56:A105,B56:B105)</f>
        <v>1119</v>
      </c>
    </row>
    <row r="51" spans="1:12" ht="15.6" x14ac:dyDescent="0.3">
      <c r="A51" s="14">
        <v>45691</v>
      </c>
      <c r="B51" s="12">
        <v>748</v>
      </c>
      <c r="I51" s="16"/>
      <c r="J51" s="16"/>
      <c r="K51" s="16"/>
      <c r="L51" s="16"/>
    </row>
    <row r="52" spans="1:12" ht="15.6" x14ac:dyDescent="0.3">
      <c r="A52" s="14">
        <v>45698</v>
      </c>
      <c r="B52" s="12">
        <v>912</v>
      </c>
      <c r="I52" s="16"/>
      <c r="J52" s="16"/>
      <c r="K52" s="16"/>
      <c r="L52" s="16"/>
    </row>
    <row r="53" spans="1:12" ht="15.6" x14ac:dyDescent="0.3">
      <c r="A53" s="14">
        <v>45705</v>
      </c>
      <c r="B53" s="12">
        <v>1590</v>
      </c>
      <c r="I53" s="16"/>
      <c r="J53" s="16"/>
      <c r="K53" s="16"/>
      <c r="L53" s="16"/>
    </row>
    <row r="54" spans="1:12" ht="15.6" x14ac:dyDescent="0.3">
      <c r="A54" s="14">
        <v>45712</v>
      </c>
      <c r="B54" s="12">
        <v>1707</v>
      </c>
      <c r="I54" s="16" t="s">
        <v>36</v>
      </c>
      <c r="J54" s="16"/>
      <c r="K54" s="16" t="s">
        <v>37</v>
      </c>
      <c r="L54" s="16">
        <f>_xlfn.XLOOKUP(A156,A107:A156,B107:B156)</f>
        <v>1680</v>
      </c>
    </row>
    <row r="55" spans="1:12" ht="15.6" x14ac:dyDescent="0.3">
      <c r="A55" s="13" t="s">
        <v>38</v>
      </c>
      <c r="B55" s="12">
        <v>2893</v>
      </c>
      <c r="I55" s="16"/>
      <c r="J55" s="16"/>
      <c r="K55" s="16"/>
      <c r="L55" s="16"/>
    </row>
    <row r="56" spans="1:12" ht="15.6" x14ac:dyDescent="0.3">
      <c r="A56" s="14">
        <v>45719</v>
      </c>
      <c r="B56" s="12">
        <v>-119</v>
      </c>
      <c r="I56" s="16"/>
      <c r="J56" s="16"/>
      <c r="K56" s="16"/>
      <c r="L56" s="16"/>
    </row>
    <row r="57" spans="1:12" ht="15.6" x14ac:dyDescent="0.3">
      <c r="A57" s="14">
        <v>45726</v>
      </c>
      <c r="B57" s="12">
        <v>908</v>
      </c>
      <c r="I57" s="16" t="s">
        <v>39</v>
      </c>
      <c r="J57" s="16"/>
      <c r="K57" s="16"/>
      <c r="L57" s="16">
        <f>_xlfn.XLOOKUP(A207,A158:A207,B158:B207)</f>
        <v>91</v>
      </c>
    </row>
    <row r="58" spans="1:12" x14ac:dyDescent="0.3">
      <c r="A58" s="14">
        <v>45733</v>
      </c>
      <c r="B58" s="12">
        <v>1116</v>
      </c>
    </row>
    <row r="59" spans="1:12" x14ac:dyDescent="0.3">
      <c r="A59" s="14">
        <v>45740</v>
      </c>
      <c r="B59" s="12">
        <v>474</v>
      </c>
    </row>
    <row r="60" spans="1:12" x14ac:dyDescent="0.3">
      <c r="A60" s="14">
        <v>45747</v>
      </c>
      <c r="B60" s="12">
        <v>514</v>
      </c>
    </row>
    <row r="61" spans="1:12" x14ac:dyDescent="0.3">
      <c r="A61" s="13" t="s">
        <v>40</v>
      </c>
      <c r="B61" s="12">
        <v>2352</v>
      </c>
    </row>
    <row r="62" spans="1:12" x14ac:dyDescent="0.3">
      <c r="A62" s="14">
        <v>45754</v>
      </c>
      <c r="B62" s="12">
        <v>1029</v>
      </c>
    </row>
    <row r="63" spans="1:12" x14ac:dyDescent="0.3">
      <c r="A63" s="14">
        <v>45761</v>
      </c>
      <c r="B63" s="12">
        <v>-175</v>
      </c>
    </row>
    <row r="64" spans="1:12" x14ac:dyDescent="0.3">
      <c r="A64" s="14">
        <v>45768</v>
      </c>
      <c r="B64" s="12">
        <v>1045</v>
      </c>
    </row>
    <row r="65" spans="1:2" x14ac:dyDescent="0.3">
      <c r="A65" s="14">
        <v>45775</v>
      </c>
      <c r="B65" s="12">
        <v>453</v>
      </c>
    </row>
    <row r="66" spans="1:2" x14ac:dyDescent="0.3">
      <c r="A66" s="13" t="s">
        <v>41</v>
      </c>
      <c r="B66" s="12">
        <v>746</v>
      </c>
    </row>
    <row r="67" spans="1:2" x14ac:dyDescent="0.3">
      <c r="A67" s="14">
        <v>45782</v>
      </c>
      <c r="B67" s="12">
        <v>339</v>
      </c>
    </row>
    <row r="68" spans="1:2" x14ac:dyDescent="0.3">
      <c r="A68" s="14">
        <v>45789</v>
      </c>
      <c r="B68" s="12">
        <v>407</v>
      </c>
    </row>
    <row r="69" spans="1:2" x14ac:dyDescent="0.3">
      <c r="A69" s="11" t="s">
        <v>10</v>
      </c>
      <c r="B69" s="12">
        <v>48004</v>
      </c>
    </row>
    <row r="70" spans="1:2" x14ac:dyDescent="0.3">
      <c r="A70" s="6" t="s">
        <v>22</v>
      </c>
      <c r="B70" s="12">
        <v>29835</v>
      </c>
    </row>
    <row r="71" spans="1:2" x14ac:dyDescent="0.3">
      <c r="A71" s="13" t="s">
        <v>23</v>
      </c>
      <c r="B71" s="12">
        <v>3086</v>
      </c>
    </row>
    <row r="72" spans="1:2" x14ac:dyDescent="0.3">
      <c r="A72" s="14">
        <v>45446</v>
      </c>
      <c r="B72" s="12">
        <v>1047</v>
      </c>
    </row>
    <row r="73" spans="1:2" x14ac:dyDescent="0.3">
      <c r="A73" s="14">
        <v>45453</v>
      </c>
      <c r="B73" s="12">
        <v>517</v>
      </c>
    </row>
    <row r="74" spans="1:2" x14ac:dyDescent="0.3">
      <c r="A74" s="14">
        <v>45460</v>
      </c>
      <c r="B74" s="12">
        <v>893</v>
      </c>
    </row>
    <row r="75" spans="1:2" x14ac:dyDescent="0.3">
      <c r="A75" s="14">
        <v>45467</v>
      </c>
      <c r="B75" s="12">
        <v>629</v>
      </c>
    </row>
    <row r="76" spans="1:2" x14ac:dyDescent="0.3">
      <c r="A76" s="13" t="s">
        <v>24</v>
      </c>
      <c r="B76" s="12">
        <v>3998</v>
      </c>
    </row>
    <row r="77" spans="1:2" x14ac:dyDescent="0.3">
      <c r="A77" s="14">
        <v>45474</v>
      </c>
      <c r="B77" s="12">
        <v>-219</v>
      </c>
    </row>
    <row r="78" spans="1:2" x14ac:dyDescent="0.3">
      <c r="A78" s="14">
        <v>45481</v>
      </c>
      <c r="B78" s="12">
        <v>1672</v>
      </c>
    </row>
    <row r="79" spans="1:2" x14ac:dyDescent="0.3">
      <c r="A79" s="14">
        <v>45488</v>
      </c>
      <c r="B79" s="12">
        <v>1845</v>
      </c>
    </row>
    <row r="80" spans="1:2" x14ac:dyDescent="0.3">
      <c r="A80" s="14">
        <v>45495</v>
      </c>
      <c r="B80" s="12">
        <v>159</v>
      </c>
    </row>
    <row r="81" spans="1:2" x14ac:dyDescent="0.3">
      <c r="A81" s="14">
        <v>45502</v>
      </c>
      <c r="B81" s="12">
        <v>541</v>
      </c>
    </row>
    <row r="82" spans="1:2" x14ac:dyDescent="0.3">
      <c r="A82" s="13" t="s">
        <v>25</v>
      </c>
      <c r="B82" s="12">
        <v>3362</v>
      </c>
    </row>
    <row r="83" spans="1:2" x14ac:dyDescent="0.3">
      <c r="A83" s="14">
        <v>45509</v>
      </c>
      <c r="B83" s="12">
        <v>352</v>
      </c>
    </row>
    <row r="84" spans="1:2" x14ac:dyDescent="0.3">
      <c r="A84" s="14">
        <v>45516</v>
      </c>
      <c r="B84" s="12">
        <v>1325</v>
      </c>
    </row>
    <row r="85" spans="1:2" x14ac:dyDescent="0.3">
      <c r="A85" s="14">
        <v>45523</v>
      </c>
      <c r="B85" s="12">
        <v>76</v>
      </c>
    </row>
    <row r="86" spans="1:2" x14ac:dyDescent="0.3">
      <c r="A86" s="14">
        <v>45530</v>
      </c>
      <c r="B86" s="12">
        <v>1609</v>
      </c>
    </row>
    <row r="87" spans="1:2" x14ac:dyDescent="0.3">
      <c r="A87" s="13" t="s">
        <v>26</v>
      </c>
      <c r="B87" s="12">
        <v>4887</v>
      </c>
    </row>
    <row r="88" spans="1:2" x14ac:dyDescent="0.3">
      <c r="A88" s="14">
        <v>45537</v>
      </c>
      <c r="B88" s="12">
        <v>1247</v>
      </c>
    </row>
    <row r="89" spans="1:2" x14ac:dyDescent="0.3">
      <c r="A89" s="14">
        <v>45544</v>
      </c>
      <c r="B89" s="12">
        <v>1572</v>
      </c>
    </row>
    <row r="90" spans="1:2" x14ac:dyDescent="0.3">
      <c r="A90" s="14">
        <v>45551</v>
      </c>
      <c r="B90" s="12">
        <v>377</v>
      </c>
    </row>
    <row r="91" spans="1:2" x14ac:dyDescent="0.3">
      <c r="A91" s="14">
        <v>45558</v>
      </c>
      <c r="B91" s="12">
        <v>666</v>
      </c>
    </row>
    <row r="92" spans="1:2" x14ac:dyDescent="0.3">
      <c r="A92" s="14">
        <v>45565</v>
      </c>
      <c r="B92" s="12">
        <v>1025</v>
      </c>
    </row>
    <row r="93" spans="1:2" x14ac:dyDescent="0.3">
      <c r="A93" s="13" t="s">
        <v>27</v>
      </c>
      <c r="B93" s="12">
        <v>3934</v>
      </c>
    </row>
    <row r="94" spans="1:2" x14ac:dyDescent="0.3">
      <c r="A94" s="14">
        <v>45572</v>
      </c>
      <c r="B94" s="12">
        <v>1872</v>
      </c>
    </row>
    <row r="95" spans="1:2" x14ac:dyDescent="0.3">
      <c r="A95" s="14">
        <v>45579</v>
      </c>
      <c r="B95" s="12">
        <v>1224</v>
      </c>
    </row>
    <row r="96" spans="1:2" x14ac:dyDescent="0.3">
      <c r="A96" s="14">
        <v>45586</v>
      </c>
      <c r="B96" s="12">
        <v>262</v>
      </c>
    </row>
    <row r="97" spans="1:2" x14ac:dyDescent="0.3">
      <c r="A97" s="14">
        <v>45593</v>
      </c>
      <c r="B97" s="12">
        <v>576</v>
      </c>
    </row>
    <row r="98" spans="1:2" x14ac:dyDescent="0.3">
      <c r="A98" s="13" t="s">
        <v>28</v>
      </c>
      <c r="B98" s="12">
        <v>3943</v>
      </c>
    </row>
    <row r="99" spans="1:2" x14ac:dyDescent="0.3">
      <c r="A99" s="14">
        <v>45600</v>
      </c>
      <c r="B99" s="12">
        <v>1397</v>
      </c>
    </row>
    <row r="100" spans="1:2" x14ac:dyDescent="0.3">
      <c r="A100" s="14">
        <v>45607</v>
      </c>
      <c r="B100" s="12">
        <v>902</v>
      </c>
    </row>
    <row r="101" spans="1:2" x14ac:dyDescent="0.3">
      <c r="A101" s="14">
        <v>45614</v>
      </c>
      <c r="B101" s="12">
        <v>-49</v>
      </c>
    </row>
    <row r="102" spans="1:2" x14ac:dyDescent="0.3">
      <c r="A102" s="14">
        <v>45621</v>
      </c>
      <c r="B102" s="12">
        <v>1693</v>
      </c>
    </row>
    <row r="103" spans="1:2" x14ac:dyDescent="0.3">
      <c r="A103" s="13" t="s">
        <v>29</v>
      </c>
      <c r="B103" s="12">
        <v>6625</v>
      </c>
    </row>
    <row r="104" spans="1:2" x14ac:dyDescent="0.3">
      <c r="A104" s="14">
        <v>45628</v>
      </c>
      <c r="B104" s="12">
        <v>1625</v>
      </c>
    </row>
    <row r="105" spans="1:2" x14ac:dyDescent="0.3">
      <c r="A105" s="14">
        <v>45635</v>
      </c>
      <c r="B105" s="12">
        <v>1119</v>
      </c>
    </row>
    <row r="106" spans="1:2" x14ac:dyDescent="0.3">
      <c r="A106" s="14">
        <v>45642</v>
      </c>
      <c r="B106" s="12">
        <v>1432</v>
      </c>
    </row>
    <row r="107" spans="1:2" x14ac:dyDescent="0.3">
      <c r="A107" s="14">
        <v>45649</v>
      </c>
      <c r="B107" s="12">
        <v>684</v>
      </c>
    </row>
    <row r="108" spans="1:2" x14ac:dyDescent="0.3">
      <c r="A108" s="14">
        <v>45656</v>
      </c>
      <c r="B108" s="12">
        <v>1765</v>
      </c>
    </row>
    <row r="109" spans="1:2" x14ac:dyDescent="0.3">
      <c r="A109" s="6" t="s">
        <v>31</v>
      </c>
      <c r="B109" s="12">
        <v>18169</v>
      </c>
    </row>
    <row r="110" spans="1:2" x14ac:dyDescent="0.3">
      <c r="A110" s="13" t="s">
        <v>32</v>
      </c>
      <c r="B110" s="12">
        <v>4031</v>
      </c>
    </row>
    <row r="111" spans="1:2" x14ac:dyDescent="0.3">
      <c r="A111" s="14">
        <v>45663</v>
      </c>
      <c r="B111" s="12">
        <v>903</v>
      </c>
    </row>
    <row r="112" spans="1:2" x14ac:dyDescent="0.3">
      <c r="A112" s="14">
        <v>45670</v>
      </c>
      <c r="B112" s="12">
        <v>1722</v>
      </c>
    </row>
    <row r="113" spans="1:2" x14ac:dyDescent="0.3">
      <c r="A113" s="14">
        <v>45677</v>
      </c>
      <c r="B113" s="12">
        <v>1572</v>
      </c>
    </row>
    <row r="114" spans="1:2" x14ac:dyDescent="0.3">
      <c r="A114" s="14">
        <v>45684</v>
      </c>
      <c r="B114" s="12">
        <v>-166</v>
      </c>
    </row>
    <row r="115" spans="1:2" x14ac:dyDescent="0.3">
      <c r="A115" s="13" t="s">
        <v>34</v>
      </c>
      <c r="B115" s="12">
        <v>5143</v>
      </c>
    </row>
    <row r="116" spans="1:2" x14ac:dyDescent="0.3">
      <c r="A116" s="14">
        <v>45691</v>
      </c>
      <c r="B116" s="12">
        <v>1080</v>
      </c>
    </row>
    <row r="117" spans="1:2" x14ac:dyDescent="0.3">
      <c r="A117" s="14">
        <v>45698</v>
      </c>
      <c r="B117" s="12">
        <v>1723</v>
      </c>
    </row>
    <row r="118" spans="1:2" x14ac:dyDescent="0.3">
      <c r="A118" s="14">
        <v>45705</v>
      </c>
      <c r="B118" s="12">
        <v>965</v>
      </c>
    </row>
    <row r="119" spans="1:2" x14ac:dyDescent="0.3">
      <c r="A119" s="14">
        <v>45712</v>
      </c>
      <c r="B119" s="12">
        <v>1375</v>
      </c>
    </row>
    <row r="120" spans="1:2" x14ac:dyDescent="0.3">
      <c r="A120" s="13" t="s">
        <v>38</v>
      </c>
      <c r="B120" s="12">
        <v>3309</v>
      </c>
    </row>
    <row r="121" spans="1:2" x14ac:dyDescent="0.3">
      <c r="A121" s="14">
        <v>45719</v>
      </c>
      <c r="B121" s="12">
        <v>1315</v>
      </c>
    </row>
    <row r="122" spans="1:2" x14ac:dyDescent="0.3">
      <c r="A122" s="14">
        <v>45726</v>
      </c>
      <c r="B122" s="12">
        <v>212</v>
      </c>
    </row>
    <row r="123" spans="1:2" x14ac:dyDescent="0.3">
      <c r="A123" s="14">
        <v>45733</v>
      </c>
      <c r="B123" s="12">
        <v>680</v>
      </c>
    </row>
    <row r="124" spans="1:2" x14ac:dyDescent="0.3">
      <c r="A124" s="14">
        <v>45740</v>
      </c>
      <c r="B124" s="12">
        <v>461</v>
      </c>
    </row>
    <row r="125" spans="1:2" x14ac:dyDescent="0.3">
      <c r="A125" s="14">
        <v>45747</v>
      </c>
      <c r="B125" s="12">
        <v>641</v>
      </c>
    </row>
    <row r="126" spans="1:2" x14ac:dyDescent="0.3">
      <c r="A126" s="13" t="s">
        <v>40</v>
      </c>
      <c r="B126" s="12">
        <v>2149</v>
      </c>
    </row>
    <row r="127" spans="1:2" x14ac:dyDescent="0.3">
      <c r="A127" s="14">
        <v>45754</v>
      </c>
      <c r="B127" s="12">
        <v>167</v>
      </c>
    </row>
    <row r="128" spans="1:2" x14ac:dyDescent="0.3">
      <c r="A128" s="14">
        <v>45761</v>
      </c>
      <c r="B128" s="12">
        <v>-160</v>
      </c>
    </row>
    <row r="129" spans="1:2" x14ac:dyDescent="0.3">
      <c r="A129" s="14">
        <v>45768</v>
      </c>
      <c r="B129" s="12">
        <v>603</v>
      </c>
    </row>
    <row r="130" spans="1:2" x14ac:dyDescent="0.3">
      <c r="A130" s="14">
        <v>45775</v>
      </c>
      <c r="B130" s="12">
        <v>1539</v>
      </c>
    </row>
    <row r="131" spans="1:2" x14ac:dyDescent="0.3">
      <c r="A131" s="13" t="s">
        <v>41</v>
      </c>
      <c r="B131" s="12">
        <v>3537</v>
      </c>
    </row>
    <row r="132" spans="1:2" x14ac:dyDescent="0.3">
      <c r="A132" s="14">
        <v>45782</v>
      </c>
      <c r="B132" s="12">
        <v>1881</v>
      </c>
    </row>
    <row r="133" spans="1:2" x14ac:dyDescent="0.3">
      <c r="A133" s="14">
        <v>45789</v>
      </c>
      <c r="B133" s="12">
        <v>1656</v>
      </c>
    </row>
    <row r="134" spans="1:2" x14ac:dyDescent="0.3">
      <c r="A134" s="11" t="s">
        <v>11</v>
      </c>
      <c r="B134" s="12">
        <v>41177</v>
      </c>
    </row>
    <row r="135" spans="1:2" x14ac:dyDescent="0.3">
      <c r="A135" s="6" t="s">
        <v>22</v>
      </c>
      <c r="B135" s="12">
        <v>25750</v>
      </c>
    </row>
    <row r="136" spans="1:2" x14ac:dyDescent="0.3">
      <c r="A136" s="13" t="s">
        <v>23</v>
      </c>
      <c r="B136" s="12">
        <v>2731</v>
      </c>
    </row>
    <row r="137" spans="1:2" x14ac:dyDescent="0.3">
      <c r="A137" s="14">
        <v>45446</v>
      </c>
      <c r="B137" s="12">
        <v>415</v>
      </c>
    </row>
    <row r="138" spans="1:2" x14ac:dyDescent="0.3">
      <c r="A138" s="14">
        <v>45453</v>
      </c>
      <c r="B138" s="12">
        <v>186</v>
      </c>
    </row>
    <row r="139" spans="1:2" x14ac:dyDescent="0.3">
      <c r="A139" s="14">
        <v>45460</v>
      </c>
      <c r="B139" s="12">
        <v>1295</v>
      </c>
    </row>
    <row r="140" spans="1:2" x14ac:dyDescent="0.3">
      <c r="A140" s="14">
        <v>45467</v>
      </c>
      <c r="B140" s="12">
        <v>835</v>
      </c>
    </row>
    <row r="141" spans="1:2" x14ac:dyDescent="0.3">
      <c r="A141" s="13" t="s">
        <v>24</v>
      </c>
      <c r="B141" s="12">
        <v>5144</v>
      </c>
    </row>
    <row r="142" spans="1:2" x14ac:dyDescent="0.3">
      <c r="A142" s="14">
        <v>45474</v>
      </c>
      <c r="B142" s="12">
        <v>1357</v>
      </c>
    </row>
    <row r="143" spans="1:2" x14ac:dyDescent="0.3">
      <c r="A143" s="14">
        <v>45481</v>
      </c>
      <c r="B143" s="12">
        <v>547</v>
      </c>
    </row>
    <row r="144" spans="1:2" x14ac:dyDescent="0.3">
      <c r="A144" s="14">
        <v>45488</v>
      </c>
      <c r="B144" s="12">
        <v>429</v>
      </c>
    </row>
    <row r="145" spans="1:2" x14ac:dyDescent="0.3">
      <c r="A145" s="14">
        <v>45495</v>
      </c>
      <c r="B145" s="12">
        <v>1316</v>
      </c>
    </row>
    <row r="146" spans="1:2" x14ac:dyDescent="0.3">
      <c r="A146" s="14">
        <v>45502</v>
      </c>
      <c r="B146" s="12">
        <v>1495</v>
      </c>
    </row>
    <row r="147" spans="1:2" x14ac:dyDescent="0.3">
      <c r="A147" s="13" t="s">
        <v>25</v>
      </c>
      <c r="B147" s="12">
        <v>3259</v>
      </c>
    </row>
    <row r="148" spans="1:2" x14ac:dyDescent="0.3">
      <c r="A148" s="14">
        <v>45509</v>
      </c>
      <c r="B148" s="12">
        <v>328</v>
      </c>
    </row>
    <row r="149" spans="1:2" x14ac:dyDescent="0.3">
      <c r="A149" s="14">
        <v>45516</v>
      </c>
      <c r="B149" s="12">
        <v>37</v>
      </c>
    </row>
    <row r="150" spans="1:2" x14ac:dyDescent="0.3">
      <c r="A150" s="14">
        <v>45523</v>
      </c>
      <c r="B150" s="12">
        <v>1665</v>
      </c>
    </row>
    <row r="151" spans="1:2" x14ac:dyDescent="0.3">
      <c r="A151" s="14">
        <v>45530</v>
      </c>
      <c r="B151" s="12">
        <v>1229</v>
      </c>
    </row>
    <row r="152" spans="1:2" x14ac:dyDescent="0.3">
      <c r="A152" s="13" t="s">
        <v>26</v>
      </c>
      <c r="B152" s="12">
        <v>3861</v>
      </c>
    </row>
    <row r="153" spans="1:2" x14ac:dyDescent="0.3">
      <c r="A153" s="14">
        <v>45537</v>
      </c>
      <c r="B153" s="12">
        <v>197</v>
      </c>
    </row>
    <row r="154" spans="1:2" x14ac:dyDescent="0.3">
      <c r="A154" s="14">
        <v>45544</v>
      </c>
      <c r="B154" s="12">
        <v>260</v>
      </c>
    </row>
    <row r="155" spans="1:2" x14ac:dyDescent="0.3">
      <c r="A155" s="14">
        <v>45551</v>
      </c>
      <c r="B155" s="12">
        <v>1125</v>
      </c>
    </row>
    <row r="156" spans="1:2" x14ac:dyDescent="0.3">
      <c r="A156" s="14">
        <v>45558</v>
      </c>
      <c r="B156" s="12">
        <v>1680</v>
      </c>
    </row>
    <row r="157" spans="1:2" x14ac:dyDescent="0.3">
      <c r="A157" s="14">
        <v>45565</v>
      </c>
      <c r="B157" s="12">
        <v>599</v>
      </c>
    </row>
    <row r="158" spans="1:2" x14ac:dyDescent="0.3">
      <c r="A158" s="13" t="s">
        <v>27</v>
      </c>
      <c r="B158" s="12">
        <v>760</v>
      </c>
    </row>
    <row r="159" spans="1:2" x14ac:dyDescent="0.3">
      <c r="A159" s="14">
        <v>45572</v>
      </c>
      <c r="B159" s="12">
        <v>107</v>
      </c>
    </row>
    <row r="160" spans="1:2" x14ac:dyDescent="0.3">
      <c r="A160" s="14">
        <v>45579</v>
      </c>
      <c r="B160" s="12">
        <v>-20</v>
      </c>
    </row>
    <row r="161" spans="1:2" x14ac:dyDescent="0.3">
      <c r="A161" s="14">
        <v>45586</v>
      </c>
      <c r="B161" s="12">
        <v>636</v>
      </c>
    </row>
    <row r="162" spans="1:2" x14ac:dyDescent="0.3">
      <c r="A162" s="14">
        <v>45593</v>
      </c>
      <c r="B162" s="12">
        <v>37</v>
      </c>
    </row>
    <row r="163" spans="1:2" x14ac:dyDescent="0.3">
      <c r="A163" s="13" t="s">
        <v>28</v>
      </c>
      <c r="B163" s="12">
        <v>3296</v>
      </c>
    </row>
    <row r="164" spans="1:2" x14ac:dyDescent="0.3">
      <c r="A164" s="14">
        <v>45600</v>
      </c>
      <c r="B164" s="12">
        <v>1603</v>
      </c>
    </row>
    <row r="165" spans="1:2" x14ac:dyDescent="0.3">
      <c r="A165" s="14">
        <v>45607</v>
      </c>
      <c r="B165" s="12">
        <v>1150</v>
      </c>
    </row>
    <row r="166" spans="1:2" x14ac:dyDescent="0.3">
      <c r="A166" s="14">
        <v>45614</v>
      </c>
      <c r="B166" s="12">
        <v>445</v>
      </c>
    </row>
    <row r="167" spans="1:2" x14ac:dyDescent="0.3">
      <c r="A167" s="14">
        <v>45621</v>
      </c>
      <c r="B167" s="12">
        <v>98</v>
      </c>
    </row>
    <row r="168" spans="1:2" x14ac:dyDescent="0.3">
      <c r="A168" s="13" t="s">
        <v>29</v>
      </c>
      <c r="B168" s="12">
        <v>6699</v>
      </c>
    </row>
    <row r="169" spans="1:2" x14ac:dyDescent="0.3">
      <c r="A169" s="14">
        <v>45628</v>
      </c>
      <c r="B169" s="12">
        <v>1173</v>
      </c>
    </row>
    <row r="170" spans="1:2" x14ac:dyDescent="0.3">
      <c r="A170" s="14">
        <v>45635</v>
      </c>
      <c r="B170" s="12">
        <v>1727</v>
      </c>
    </row>
    <row r="171" spans="1:2" x14ac:dyDescent="0.3">
      <c r="A171" s="14">
        <v>45642</v>
      </c>
      <c r="B171" s="12">
        <v>1359</v>
      </c>
    </row>
    <row r="172" spans="1:2" x14ac:dyDescent="0.3">
      <c r="A172" s="14">
        <v>45649</v>
      </c>
      <c r="B172" s="12">
        <v>911</v>
      </c>
    </row>
    <row r="173" spans="1:2" x14ac:dyDescent="0.3">
      <c r="A173" s="14">
        <v>45656</v>
      </c>
      <c r="B173" s="12">
        <v>1529</v>
      </c>
    </row>
    <row r="174" spans="1:2" x14ac:dyDescent="0.3">
      <c r="A174" s="6" t="s">
        <v>31</v>
      </c>
      <c r="B174" s="12">
        <v>15427</v>
      </c>
    </row>
    <row r="175" spans="1:2" x14ac:dyDescent="0.3">
      <c r="A175" s="13" t="s">
        <v>32</v>
      </c>
      <c r="B175" s="12">
        <v>3361</v>
      </c>
    </row>
    <row r="176" spans="1:2" x14ac:dyDescent="0.3">
      <c r="A176" s="14">
        <v>45663</v>
      </c>
      <c r="B176" s="12">
        <v>1188</v>
      </c>
    </row>
    <row r="177" spans="1:2" x14ac:dyDescent="0.3">
      <c r="A177" s="14">
        <v>45670</v>
      </c>
      <c r="B177" s="12">
        <v>-144</v>
      </c>
    </row>
    <row r="178" spans="1:2" x14ac:dyDescent="0.3">
      <c r="A178" s="14">
        <v>45677</v>
      </c>
      <c r="B178" s="12">
        <v>891</v>
      </c>
    </row>
    <row r="179" spans="1:2" x14ac:dyDescent="0.3">
      <c r="A179" s="14">
        <v>45684</v>
      </c>
      <c r="B179" s="12">
        <v>1426</v>
      </c>
    </row>
    <row r="180" spans="1:2" x14ac:dyDescent="0.3">
      <c r="A180" s="13" t="s">
        <v>34</v>
      </c>
      <c r="B180" s="12">
        <v>2442</v>
      </c>
    </row>
    <row r="181" spans="1:2" x14ac:dyDescent="0.3">
      <c r="A181" s="14">
        <v>45691</v>
      </c>
      <c r="B181" s="12">
        <v>569</v>
      </c>
    </row>
    <row r="182" spans="1:2" x14ac:dyDescent="0.3">
      <c r="A182" s="14">
        <v>45698</v>
      </c>
      <c r="B182" s="12">
        <v>1202</v>
      </c>
    </row>
    <row r="183" spans="1:2" x14ac:dyDescent="0.3">
      <c r="A183" s="14">
        <v>45705</v>
      </c>
      <c r="B183" s="12">
        <v>-37</v>
      </c>
    </row>
    <row r="184" spans="1:2" x14ac:dyDescent="0.3">
      <c r="A184" s="14">
        <v>45712</v>
      </c>
      <c r="B184" s="12">
        <v>708</v>
      </c>
    </row>
    <row r="185" spans="1:2" x14ac:dyDescent="0.3">
      <c r="A185" s="13" t="s">
        <v>38</v>
      </c>
      <c r="B185" s="12">
        <v>5078</v>
      </c>
    </row>
    <row r="186" spans="1:2" x14ac:dyDescent="0.3">
      <c r="A186" s="14">
        <v>45719</v>
      </c>
      <c r="B186" s="12">
        <v>899</v>
      </c>
    </row>
    <row r="187" spans="1:2" x14ac:dyDescent="0.3">
      <c r="A187" s="14">
        <v>45726</v>
      </c>
      <c r="B187" s="12">
        <v>1350</v>
      </c>
    </row>
    <row r="188" spans="1:2" x14ac:dyDescent="0.3">
      <c r="A188" s="14">
        <v>45733</v>
      </c>
      <c r="B188" s="12">
        <v>861</v>
      </c>
    </row>
    <row r="189" spans="1:2" x14ac:dyDescent="0.3">
      <c r="A189" s="14">
        <v>45740</v>
      </c>
      <c r="B189" s="12">
        <v>292</v>
      </c>
    </row>
    <row r="190" spans="1:2" x14ac:dyDescent="0.3">
      <c r="A190" s="14">
        <v>45747</v>
      </c>
      <c r="B190" s="12">
        <v>1676</v>
      </c>
    </row>
    <row r="191" spans="1:2" x14ac:dyDescent="0.3">
      <c r="A191" s="13" t="s">
        <v>40</v>
      </c>
      <c r="B191" s="12">
        <v>2767</v>
      </c>
    </row>
    <row r="192" spans="1:2" x14ac:dyDescent="0.3">
      <c r="A192" s="14">
        <v>45754</v>
      </c>
      <c r="B192" s="12">
        <v>1007</v>
      </c>
    </row>
    <row r="193" spans="1:2" x14ac:dyDescent="0.3">
      <c r="A193" s="14">
        <v>45761</v>
      </c>
      <c r="B193" s="12">
        <v>53</v>
      </c>
    </row>
    <row r="194" spans="1:2" x14ac:dyDescent="0.3">
      <c r="A194" s="14">
        <v>45768</v>
      </c>
      <c r="B194" s="12">
        <v>759</v>
      </c>
    </row>
    <row r="195" spans="1:2" x14ac:dyDescent="0.3">
      <c r="A195" s="14">
        <v>45775</v>
      </c>
      <c r="B195" s="12">
        <v>948</v>
      </c>
    </row>
    <row r="196" spans="1:2" x14ac:dyDescent="0.3">
      <c r="A196" s="13" t="s">
        <v>41</v>
      </c>
      <c r="B196" s="12">
        <v>1779</v>
      </c>
    </row>
    <row r="197" spans="1:2" x14ac:dyDescent="0.3">
      <c r="A197" s="14">
        <v>45782</v>
      </c>
      <c r="B197" s="12">
        <v>1510</v>
      </c>
    </row>
    <row r="198" spans="1:2" x14ac:dyDescent="0.3">
      <c r="A198" s="14">
        <v>45789</v>
      </c>
      <c r="B198" s="12">
        <v>269</v>
      </c>
    </row>
    <row r="199" spans="1:2" x14ac:dyDescent="0.3">
      <c r="A199" s="11" t="s">
        <v>12</v>
      </c>
      <c r="B199" s="12">
        <v>35367</v>
      </c>
    </row>
    <row r="200" spans="1:2" x14ac:dyDescent="0.3">
      <c r="A200" s="6" t="s">
        <v>22</v>
      </c>
      <c r="B200" s="12">
        <v>20290</v>
      </c>
    </row>
    <row r="201" spans="1:2" x14ac:dyDescent="0.3">
      <c r="A201" s="13" t="s">
        <v>23</v>
      </c>
      <c r="B201" s="12">
        <v>2298</v>
      </c>
    </row>
    <row r="202" spans="1:2" x14ac:dyDescent="0.3">
      <c r="A202" s="14">
        <v>45446</v>
      </c>
      <c r="B202" s="12">
        <v>1090</v>
      </c>
    </row>
    <row r="203" spans="1:2" x14ac:dyDescent="0.3">
      <c r="A203" s="14">
        <v>45453</v>
      </c>
      <c r="B203" s="12">
        <v>994</v>
      </c>
    </row>
    <row r="204" spans="1:2" x14ac:dyDescent="0.3">
      <c r="A204" s="14">
        <v>45460</v>
      </c>
      <c r="B204" s="12">
        <v>337</v>
      </c>
    </row>
    <row r="205" spans="1:2" x14ac:dyDescent="0.3">
      <c r="A205" s="14">
        <v>45467</v>
      </c>
      <c r="B205" s="12">
        <v>-123</v>
      </c>
    </row>
    <row r="206" spans="1:2" x14ac:dyDescent="0.3">
      <c r="A206" s="13" t="s">
        <v>24</v>
      </c>
      <c r="B206" s="12">
        <v>1557</v>
      </c>
    </row>
    <row r="207" spans="1:2" x14ac:dyDescent="0.3">
      <c r="A207" s="14">
        <v>45474</v>
      </c>
      <c r="B207" s="12">
        <v>91</v>
      </c>
    </row>
    <row r="208" spans="1:2" x14ac:dyDescent="0.3">
      <c r="A208" s="14">
        <v>45481</v>
      </c>
      <c r="B208" s="12">
        <v>514</v>
      </c>
    </row>
    <row r="209" spans="1:2" x14ac:dyDescent="0.3">
      <c r="A209" s="14">
        <v>45488</v>
      </c>
      <c r="B209" s="12">
        <v>160</v>
      </c>
    </row>
    <row r="210" spans="1:2" x14ac:dyDescent="0.3">
      <c r="A210" s="14">
        <v>45495</v>
      </c>
      <c r="B210" s="12">
        <v>317</v>
      </c>
    </row>
    <row r="211" spans="1:2" x14ac:dyDescent="0.3">
      <c r="A211" s="14">
        <v>45502</v>
      </c>
      <c r="B211" s="12">
        <v>475</v>
      </c>
    </row>
    <row r="212" spans="1:2" x14ac:dyDescent="0.3">
      <c r="A212" s="13" t="s">
        <v>25</v>
      </c>
      <c r="B212" s="12">
        <v>1569</v>
      </c>
    </row>
    <row r="213" spans="1:2" x14ac:dyDescent="0.3">
      <c r="A213" s="14">
        <v>45509</v>
      </c>
      <c r="B213" s="12">
        <v>319</v>
      </c>
    </row>
    <row r="214" spans="1:2" x14ac:dyDescent="0.3">
      <c r="A214" s="14">
        <v>45516</v>
      </c>
      <c r="B214" s="12">
        <v>1032</v>
      </c>
    </row>
    <row r="215" spans="1:2" x14ac:dyDescent="0.3">
      <c r="A215" s="14">
        <v>45523</v>
      </c>
      <c r="B215" s="12">
        <v>190</v>
      </c>
    </row>
    <row r="216" spans="1:2" x14ac:dyDescent="0.3">
      <c r="A216" s="14">
        <v>45530</v>
      </c>
      <c r="B216" s="12">
        <v>28</v>
      </c>
    </row>
    <row r="217" spans="1:2" x14ac:dyDescent="0.3">
      <c r="A217" s="13" t="s">
        <v>26</v>
      </c>
      <c r="B217" s="12">
        <v>4113</v>
      </c>
    </row>
    <row r="218" spans="1:2" x14ac:dyDescent="0.3">
      <c r="A218" s="14">
        <v>45537</v>
      </c>
      <c r="B218" s="12">
        <v>333</v>
      </c>
    </row>
    <row r="219" spans="1:2" x14ac:dyDescent="0.3">
      <c r="A219" s="14">
        <v>45544</v>
      </c>
      <c r="B219" s="12">
        <v>1100</v>
      </c>
    </row>
    <row r="220" spans="1:2" x14ac:dyDescent="0.3">
      <c r="A220" s="14">
        <v>45551</v>
      </c>
      <c r="B220" s="12">
        <v>-32</v>
      </c>
    </row>
    <row r="221" spans="1:2" x14ac:dyDescent="0.3">
      <c r="A221" s="14">
        <v>45558</v>
      </c>
      <c r="B221" s="12">
        <v>1006</v>
      </c>
    </row>
    <row r="222" spans="1:2" x14ac:dyDescent="0.3">
      <c r="A222" s="14">
        <v>45565</v>
      </c>
      <c r="B222" s="12">
        <v>1706</v>
      </c>
    </row>
    <row r="223" spans="1:2" x14ac:dyDescent="0.3">
      <c r="A223" s="13" t="s">
        <v>27</v>
      </c>
      <c r="B223" s="12">
        <v>3626</v>
      </c>
    </row>
    <row r="224" spans="1:2" x14ac:dyDescent="0.3">
      <c r="A224" s="14">
        <v>45572</v>
      </c>
      <c r="B224" s="12">
        <v>118</v>
      </c>
    </row>
    <row r="225" spans="1:2" x14ac:dyDescent="0.3">
      <c r="A225" s="14">
        <v>45579</v>
      </c>
      <c r="B225" s="12">
        <v>367</v>
      </c>
    </row>
    <row r="226" spans="1:2" x14ac:dyDescent="0.3">
      <c r="A226" s="14">
        <v>45586</v>
      </c>
      <c r="B226" s="12">
        <v>1484</v>
      </c>
    </row>
    <row r="227" spans="1:2" x14ac:dyDescent="0.3">
      <c r="A227" s="14">
        <v>45593</v>
      </c>
      <c r="B227" s="12">
        <v>1657</v>
      </c>
    </row>
    <row r="228" spans="1:2" x14ac:dyDescent="0.3">
      <c r="A228" s="13" t="s">
        <v>28</v>
      </c>
      <c r="B228" s="12">
        <v>2338</v>
      </c>
    </row>
    <row r="229" spans="1:2" x14ac:dyDescent="0.3">
      <c r="A229" s="14">
        <v>45600</v>
      </c>
      <c r="B229" s="12">
        <v>1044</v>
      </c>
    </row>
    <row r="230" spans="1:2" x14ac:dyDescent="0.3">
      <c r="A230" s="14">
        <v>45607</v>
      </c>
      <c r="B230" s="12">
        <v>349</v>
      </c>
    </row>
    <row r="231" spans="1:2" x14ac:dyDescent="0.3">
      <c r="A231" s="14">
        <v>45614</v>
      </c>
      <c r="B231" s="12">
        <v>60</v>
      </c>
    </row>
    <row r="232" spans="1:2" x14ac:dyDescent="0.3">
      <c r="A232" s="14">
        <v>45621</v>
      </c>
      <c r="B232" s="12">
        <v>885</v>
      </c>
    </row>
    <row r="233" spans="1:2" x14ac:dyDescent="0.3">
      <c r="A233" s="13" t="s">
        <v>29</v>
      </c>
      <c r="B233" s="12">
        <v>4789</v>
      </c>
    </row>
    <row r="234" spans="1:2" x14ac:dyDescent="0.3">
      <c r="A234" s="14">
        <v>45628</v>
      </c>
      <c r="B234" s="12">
        <v>291</v>
      </c>
    </row>
    <row r="235" spans="1:2" x14ac:dyDescent="0.3">
      <c r="A235" s="14">
        <v>45635</v>
      </c>
      <c r="B235" s="12">
        <v>573</v>
      </c>
    </row>
    <row r="236" spans="1:2" x14ac:dyDescent="0.3">
      <c r="A236" s="14">
        <v>45642</v>
      </c>
      <c r="B236" s="12">
        <v>876</v>
      </c>
    </row>
    <row r="237" spans="1:2" x14ac:dyDescent="0.3">
      <c r="A237" s="14">
        <v>45649</v>
      </c>
      <c r="B237" s="12">
        <v>1589</v>
      </c>
    </row>
    <row r="238" spans="1:2" x14ac:dyDescent="0.3">
      <c r="A238" s="14">
        <v>45656</v>
      </c>
      <c r="B238" s="12">
        <v>1460</v>
      </c>
    </row>
    <row r="239" spans="1:2" x14ac:dyDescent="0.3">
      <c r="A239" s="6" t="s">
        <v>31</v>
      </c>
      <c r="B239" s="12">
        <v>15077</v>
      </c>
    </row>
    <row r="240" spans="1:2" x14ac:dyDescent="0.3">
      <c r="A240" s="13" t="s">
        <v>32</v>
      </c>
      <c r="B240" s="12">
        <v>3696</v>
      </c>
    </row>
    <row r="241" spans="1:32" x14ac:dyDescent="0.3">
      <c r="A241" s="14">
        <v>45663</v>
      </c>
      <c r="B241" s="12">
        <v>846</v>
      </c>
    </row>
    <row r="242" spans="1:32" x14ac:dyDescent="0.3">
      <c r="A242" s="14">
        <v>45670</v>
      </c>
      <c r="B242" s="12">
        <v>901</v>
      </c>
    </row>
    <row r="243" spans="1:32" x14ac:dyDescent="0.3">
      <c r="A243" s="14">
        <v>45677</v>
      </c>
      <c r="B243" s="12">
        <v>724</v>
      </c>
    </row>
    <row r="244" spans="1:32" x14ac:dyDescent="0.3">
      <c r="A244" s="14">
        <v>45684</v>
      </c>
      <c r="B244" s="12">
        <v>1225</v>
      </c>
    </row>
    <row r="245" spans="1:32" x14ac:dyDescent="0.3">
      <c r="A245" s="13" t="s">
        <v>34</v>
      </c>
      <c r="B245" s="12">
        <v>3432</v>
      </c>
    </row>
    <row r="246" spans="1:32" x14ac:dyDescent="0.3">
      <c r="A246" s="14">
        <v>45691</v>
      </c>
      <c r="B246" s="12">
        <v>-203</v>
      </c>
    </row>
    <row r="247" spans="1:32" x14ac:dyDescent="0.3">
      <c r="A247" s="14">
        <v>45698</v>
      </c>
      <c r="B247" s="12">
        <v>1444</v>
      </c>
    </row>
    <row r="248" spans="1:32" x14ac:dyDescent="0.3">
      <c r="A248" s="14">
        <v>45705</v>
      </c>
      <c r="B248" s="12">
        <v>1175</v>
      </c>
    </row>
    <row r="249" spans="1:32" x14ac:dyDescent="0.3">
      <c r="A249" s="14">
        <v>45712</v>
      </c>
      <c r="B249" s="12">
        <v>1016</v>
      </c>
    </row>
    <row r="250" spans="1:32" x14ac:dyDescent="0.3">
      <c r="A250" s="13" t="s">
        <v>38</v>
      </c>
      <c r="B250" s="12">
        <v>4798</v>
      </c>
    </row>
    <row r="251" spans="1:32" ht="15.6" x14ac:dyDescent="0.3">
      <c r="A251" s="14">
        <v>45719</v>
      </c>
      <c r="B251" s="12">
        <v>315</v>
      </c>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row>
    <row r="252" spans="1:32" ht="15.6" x14ac:dyDescent="0.3">
      <c r="A252" s="14">
        <v>45726</v>
      </c>
      <c r="B252" s="12">
        <v>1242</v>
      </c>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row>
    <row r="253" spans="1:32" x14ac:dyDescent="0.3">
      <c r="A253" s="14">
        <v>45733</v>
      </c>
      <c r="B253" s="12">
        <v>1385</v>
      </c>
    </row>
    <row r="254" spans="1:32" x14ac:dyDescent="0.3">
      <c r="A254" s="14">
        <v>45740</v>
      </c>
      <c r="B254" s="12">
        <v>389</v>
      </c>
    </row>
    <row r="255" spans="1:32" x14ac:dyDescent="0.3">
      <c r="A255" s="14">
        <v>45747</v>
      </c>
      <c r="B255" s="12">
        <v>1467</v>
      </c>
    </row>
    <row r="256" spans="1:32" x14ac:dyDescent="0.3">
      <c r="A256" s="13" t="s">
        <v>40</v>
      </c>
      <c r="B256" s="12">
        <v>2624</v>
      </c>
    </row>
    <row r="257" spans="1:2" x14ac:dyDescent="0.3">
      <c r="A257" s="14">
        <v>45754</v>
      </c>
      <c r="B257" s="12">
        <v>209</v>
      </c>
    </row>
    <row r="258" spans="1:2" x14ac:dyDescent="0.3">
      <c r="A258" s="14">
        <v>45761</v>
      </c>
      <c r="B258" s="12">
        <v>145</v>
      </c>
    </row>
    <row r="259" spans="1:2" x14ac:dyDescent="0.3">
      <c r="A259" s="14">
        <v>45768</v>
      </c>
      <c r="B259" s="12">
        <v>1633</v>
      </c>
    </row>
    <row r="260" spans="1:2" x14ac:dyDescent="0.3">
      <c r="A260" s="14">
        <v>45775</v>
      </c>
      <c r="B260" s="12">
        <v>637</v>
      </c>
    </row>
    <row r="261" spans="1:2" x14ac:dyDescent="0.3">
      <c r="A261" s="13" t="s">
        <v>41</v>
      </c>
      <c r="B261" s="12">
        <v>527</v>
      </c>
    </row>
    <row r="262" spans="1:2" x14ac:dyDescent="0.3">
      <c r="A262" s="14">
        <v>45782</v>
      </c>
      <c r="B262" s="12">
        <v>864</v>
      </c>
    </row>
    <row r="263" spans="1:2" x14ac:dyDescent="0.3">
      <c r="A263" s="14">
        <v>45789</v>
      </c>
      <c r="B263" s="12">
        <v>-337</v>
      </c>
    </row>
    <row r="264" spans="1:2" x14ac:dyDescent="0.3">
      <c r="A264" s="11" t="s">
        <v>1</v>
      </c>
      <c r="B264" s="12">
        <v>160105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C284C-DF26-46D9-83D8-AA72EDECBF1B}">
  <dimension ref="A3:J30"/>
  <sheetViews>
    <sheetView workbookViewId="0">
      <selection activeCell="H8" sqref="H8"/>
    </sheetView>
  </sheetViews>
  <sheetFormatPr defaultRowHeight="14.4" x14ac:dyDescent="0.3"/>
  <cols>
    <col min="1" max="1" width="12.109375" bestFit="1" customWidth="1"/>
    <col min="2" max="2" width="27.77734375" bestFit="1" customWidth="1"/>
    <col min="3" max="3" width="17" bestFit="1" customWidth="1"/>
    <col min="4" max="4" width="19" bestFit="1" customWidth="1"/>
  </cols>
  <sheetData>
    <row r="3" spans="1:5" ht="15.6" x14ac:dyDescent="0.3">
      <c r="A3" s="5" t="s">
        <v>2</v>
      </c>
      <c r="B3" s="5" t="s">
        <v>42</v>
      </c>
      <c r="C3" t="s">
        <v>43</v>
      </c>
      <c r="D3" s="19"/>
      <c r="E3" s="19"/>
    </row>
    <row r="4" spans="1:5" x14ac:dyDescent="0.3">
      <c r="A4" s="1" t="s">
        <v>3</v>
      </c>
      <c r="B4" s="12">
        <v>5.6486000000000001</v>
      </c>
      <c r="C4" s="12">
        <v>1379539</v>
      </c>
    </row>
    <row r="5" spans="1:5" x14ac:dyDescent="0.3">
      <c r="A5" s="1" t="s">
        <v>12</v>
      </c>
      <c r="B5" s="12">
        <v>5.5587999999999997</v>
      </c>
      <c r="C5" s="12">
        <v>1228647</v>
      </c>
    </row>
    <row r="6" spans="1:5" x14ac:dyDescent="0.3">
      <c r="A6" s="1" t="s">
        <v>10</v>
      </c>
      <c r="B6" s="12">
        <v>5.7156000000000002</v>
      </c>
      <c r="C6" s="12">
        <v>1164373</v>
      </c>
    </row>
    <row r="7" spans="1:5" x14ac:dyDescent="0.3">
      <c r="A7" s="1" t="s">
        <v>11</v>
      </c>
      <c r="B7" s="12">
        <v>5.6558000000000002</v>
      </c>
      <c r="C7" s="12">
        <v>1060357</v>
      </c>
    </row>
    <row r="8" spans="1:5" x14ac:dyDescent="0.3">
      <c r="A8" s="1" t="s">
        <v>1</v>
      </c>
      <c r="B8" s="12">
        <v>5.6446999999999994</v>
      </c>
      <c r="C8" s="12">
        <v>4832916</v>
      </c>
    </row>
    <row r="29" spans="1:10" ht="16.2" x14ac:dyDescent="0.3">
      <c r="A29" s="4" t="s">
        <v>44</v>
      </c>
      <c r="C29" s="3"/>
    </row>
    <row r="30" spans="1:10" ht="16.2" x14ac:dyDescent="0.3">
      <c r="A30" s="9" t="s">
        <v>45</v>
      </c>
      <c r="B30" s="9"/>
      <c r="C30" s="9"/>
      <c r="D30" s="9"/>
      <c r="E30" s="9"/>
      <c r="F30" s="9"/>
      <c r="G30" s="9"/>
      <c r="H30" s="9"/>
      <c r="I30" s="9"/>
      <c r="J30" s="9"/>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engagement rate per platform</vt:lpstr>
      <vt:lpstr>follower per platforms</vt:lpstr>
      <vt:lpstr>adspend vs engagement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krrish mittal</dc:creator>
  <cp:lastModifiedBy>krrish mittal</cp:lastModifiedBy>
  <dcterms:created xsi:type="dcterms:W3CDTF">2025-12-12T12:21:57Z</dcterms:created>
  <dcterms:modified xsi:type="dcterms:W3CDTF">2025-12-12T12:27:51Z</dcterms:modified>
</cp:coreProperties>
</file>